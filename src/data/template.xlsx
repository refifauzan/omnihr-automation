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November Time Sheet" sheetId="1" r:id="rId4"/>
  </sheets>
  <definedNames>
    <definedName hidden="1" localSheetId="0" name="_xlnm._FilterDatabase">'Copy of November Time Sheet'!$A$3:$AR$116</definedName>
    <definedName hidden="1" localSheetId="0" name="Z_31F2CFF3_A91E_4A0B_8424_ACF1CC514C26_.wvu.FilterData">'Copy of November Time Sheet'!$A$3:$AR$116</definedName>
    <definedName hidden="1" localSheetId="0" name="Z_F304BC32_8849_4C7D_99A9_079BDA95AFE0_.wvu.FilterData">'Copy of November Time Sheet'!$A$3:$AR$116</definedName>
    <definedName hidden="1" localSheetId="0" name="Z_6974EC77_F1C6_46B6_869E_B36659433124_.wvu.FilterData">'Copy of November Time Sheet'!$A$3:$AR$116</definedName>
    <definedName hidden="1" localSheetId="0" name="Z_6C722C52_8187_4DE9_BF6C_1FDA34523F26_.wvu.FilterData">'Copy of November Time Sheet'!$A$3:$AR$116</definedName>
  </definedNames>
  <calcPr/>
  <customWorkbookViews>
    <customWorkbookView activeSheetId="0" maximized="1" windowHeight="0" windowWidth="0" guid="{31F2CFF3-A91E-4A0B-8424-ACF1CC514C26}" name="Group by Employee"/>
    <customWorkbookView activeSheetId="0" maximized="1" windowHeight="0" windowWidth="0" guid="{F304BC32-8849-4C7D-99A9-079BDA95AFE0}" name="Group by Owner"/>
    <customWorkbookView activeSheetId="0" maximized="1" windowHeight="0" windowWidth="0" guid="{6974EC77-F1C6-46B6-869E-B36659433124}" name="Group by Project"/>
    <customWorkbookView activeSheetId="0" maximized="1" windowHeight="0" windowWidth="0" guid="{6C722C52-8187-4DE9-BF6C-1FDA34523F26}" name="Group by Billable"/>
  </customWorkbookViews>
</workbook>
</file>

<file path=xl/sharedStrings.xml><?xml version="1.0" encoding="utf-8"?>
<sst xmlns="http://schemas.openxmlformats.org/spreadsheetml/2006/main" count="625" uniqueCount="271">
  <si>
    <t>S</t>
  </si>
  <si>
    <t>M</t>
  </si>
  <si>
    <t>T</t>
  </si>
  <si>
    <t>W</t>
  </si>
  <si>
    <t>F</t>
  </si>
  <si>
    <t>ID</t>
  </si>
  <si>
    <t>Employee</t>
  </si>
  <si>
    <t>Project</t>
  </si>
  <si>
    <t>Full-Time</t>
  </si>
  <si>
    <t>Billable</t>
  </si>
  <si>
    <t>Owner</t>
  </si>
  <si>
    <t>Total Hours</t>
  </si>
  <si>
    <t>Total Days</t>
  </si>
  <si>
    <t>Total Days Off</t>
  </si>
  <si>
    <t>OTs</t>
  </si>
  <si>
    <t>1</t>
  </si>
  <si>
    <t>2</t>
  </si>
  <si>
    <t>3</t>
  </si>
  <si>
    <t>4</t>
  </si>
  <si>
    <t>Validated</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</si>
  <si>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</si>
  <si>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</si>
  <si>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</si>
  <si>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</si>
  <si>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</si>
  <si>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</si>
  <si>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</si>
  <si>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</si>
  <si>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</si>
  <si>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</si>
  <si>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</si>
  <si>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</si>
  <si>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</si>
  <si>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</si>
  <si>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</si>
  <si>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</si>
  <si>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</si>
  <si>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</si>
  <si>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</si>
  <si>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</si>
  <si>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</si>
  <si>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</si>
  <si>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</si>
  <si>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</si>
  <si>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</si>
  <si>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</si>
  <si>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SM0068</t>
  </si>
  <si>
    <t>Aaron Myatt</t>
  </si>
  <si>
    <t>Food AI</t>
  </si>
  <si>
    <t>Part Time</t>
  </si>
  <si>
    <t>No</t>
  </si>
  <si>
    <t>Atlas</t>
  </si>
  <si>
    <t>Operations</t>
  </si>
  <si>
    <t>SM0071</t>
  </si>
  <si>
    <t>Aarthi Rajarajan</t>
  </si>
  <si>
    <t>PAM AMS</t>
  </si>
  <si>
    <t>Full Time</t>
  </si>
  <si>
    <t>Yes</t>
  </si>
  <si>
    <t>SM0027</t>
  </si>
  <si>
    <t>Abdelrahman Badran</t>
  </si>
  <si>
    <t>Astro</t>
  </si>
  <si>
    <t>SM0052</t>
  </si>
  <si>
    <t>Afiq Mazli</t>
  </si>
  <si>
    <t>JBI</t>
  </si>
  <si>
    <t>SM0039</t>
  </si>
  <si>
    <t>Ahmad Fahmi San Ahmad</t>
  </si>
  <si>
    <t>PAM PDA</t>
  </si>
  <si>
    <t>SM0050</t>
  </si>
  <si>
    <t>Ai Qi Teo</t>
  </si>
  <si>
    <t>SM0043</t>
  </si>
  <si>
    <t>Aisha Azmi</t>
  </si>
  <si>
    <t>BNM</t>
  </si>
  <si>
    <t>SM0064</t>
  </si>
  <si>
    <t>Akmal Hamzah</t>
  </si>
  <si>
    <t>GBG</t>
  </si>
  <si>
    <t>SM0063</t>
  </si>
  <si>
    <t>Aladdin Mohammed Al-Masabli</t>
  </si>
  <si>
    <t>SM0001</t>
  </si>
  <si>
    <t>Allen Ding</t>
  </si>
  <si>
    <t>SM0002</t>
  </si>
  <si>
    <t>Alvin Ting</t>
  </si>
  <si>
    <t>SM0007</t>
  </si>
  <si>
    <t>Aniket Dagar</t>
  </si>
  <si>
    <t>SM0044</t>
  </si>
  <si>
    <t>Arabelle Yong</t>
  </si>
  <si>
    <t>Bigsweep</t>
  </si>
  <si>
    <t>SM0079</t>
  </si>
  <si>
    <t>Arun Prasanth</t>
  </si>
  <si>
    <t>SM0029</t>
  </si>
  <si>
    <t>Benjamin Wong</t>
  </si>
  <si>
    <t>SM0048</t>
  </si>
  <si>
    <t>Chinju James</t>
  </si>
  <si>
    <t>SM0046</t>
  </si>
  <si>
    <t>Don Danitha Ilapperuma</t>
  </si>
  <si>
    <t>Mediacorp</t>
  </si>
  <si>
    <t>SM0070</t>
  </si>
  <si>
    <t>Ean Lee</t>
  </si>
  <si>
    <t>SM0059</t>
  </si>
  <si>
    <t>Elena Argyriou</t>
  </si>
  <si>
    <t>SM0033</t>
  </si>
  <si>
    <t>Eusean Woon</t>
  </si>
  <si>
    <t>SM0035</t>
  </si>
  <si>
    <t>Faizah Chaibou Issoufou</t>
  </si>
  <si>
    <t>SM0073</t>
  </si>
  <si>
    <t>Faizan Junani</t>
  </si>
  <si>
    <t>SM0042</t>
  </si>
  <si>
    <t>Falah Alizhar</t>
  </si>
  <si>
    <t>SM0013</t>
  </si>
  <si>
    <t>Fang Jee Foo</t>
  </si>
  <si>
    <t>SM0026</t>
  </si>
  <si>
    <t>Farah Nur Firdaus Seet</t>
  </si>
  <si>
    <t>SM0056</t>
  </si>
  <si>
    <t>Faraz Ahmed</t>
  </si>
  <si>
    <t>SM0060</t>
  </si>
  <si>
    <t>Kathy Wong</t>
  </si>
  <si>
    <t>Floater</t>
  </si>
  <si>
    <t>SM0057</t>
  </si>
  <si>
    <t>Haimanul Iman</t>
  </si>
  <si>
    <t>KLK Olio</t>
  </si>
  <si>
    <t>SM0093</t>
  </si>
  <si>
    <t>Helmi Noorhafizi Abd Majid</t>
  </si>
  <si>
    <t>SM0036</t>
  </si>
  <si>
    <t>Humza Ahzam</t>
  </si>
  <si>
    <t>SM0054</t>
  </si>
  <si>
    <t>Irtaza Nasir</t>
  </si>
  <si>
    <t>SM0102</t>
  </si>
  <si>
    <t>Ismail Ibrahim</t>
  </si>
  <si>
    <t>SM0028</t>
  </si>
  <si>
    <t>Joseph Wong</t>
  </si>
  <si>
    <t>SM0091</t>
  </si>
  <si>
    <t>Joyce Tan</t>
  </si>
  <si>
    <t>SM0045</t>
  </si>
  <si>
    <t>K Sharsindra Pratheen</t>
  </si>
  <si>
    <t>SM0018</t>
  </si>
  <si>
    <t>Kar Seng Chan</t>
  </si>
  <si>
    <t>SM0075</t>
  </si>
  <si>
    <t>Kavilan Nakaswaram</t>
  </si>
  <si>
    <t>SM0047</t>
  </si>
  <si>
    <t>Kevin Chandra</t>
  </si>
  <si>
    <t>SM0085</t>
  </si>
  <si>
    <t>Khalilah Alewi</t>
  </si>
  <si>
    <t>SM0051</t>
  </si>
  <si>
    <t>Kheng Lim</t>
  </si>
  <si>
    <t>SM0030</t>
  </si>
  <si>
    <t>Kishor Balasubramaniam Maheshkumar</t>
  </si>
  <si>
    <t>SM0023</t>
  </si>
  <si>
    <t>Leon Lai</t>
  </si>
  <si>
    <t>SM0095</t>
  </si>
  <si>
    <t>Lim Hui Ming</t>
  </si>
  <si>
    <t>SM0041</t>
  </si>
  <si>
    <t>Lum Thyn Ng</t>
  </si>
  <si>
    <t>SM0087</t>
  </si>
  <si>
    <t>Magdy Abdelkader</t>
  </si>
  <si>
    <t>SM0072</t>
  </si>
  <si>
    <t>Matthieu Mertens</t>
  </si>
  <si>
    <t>SM0021</t>
  </si>
  <si>
    <t>Maydeline Maydeline</t>
  </si>
  <si>
    <t>SM0019</t>
  </si>
  <si>
    <t>Md Meher Ullah</t>
  </si>
  <si>
    <t>SM0061</t>
  </si>
  <si>
    <t>Md Nazmul Hasan</t>
  </si>
  <si>
    <t>SM0032</t>
  </si>
  <si>
    <t>Mehedi Hasan</t>
  </si>
  <si>
    <t>SM0055</t>
  </si>
  <si>
    <t>Mohamad Firdaus Kasah Hamid @ Kasmidy</t>
  </si>
  <si>
    <t>SM0099</t>
  </si>
  <si>
    <t>Mohd Norrashid Mohamad Sukor</t>
  </si>
  <si>
    <t>SM0103</t>
  </si>
  <si>
    <t>Muhammad Almadanu</t>
  </si>
  <si>
    <t>SM0011</t>
  </si>
  <si>
    <t>Muhammad Faris Jaafar</t>
  </si>
  <si>
    <t>SM0031</t>
  </si>
  <si>
    <t>Muhammad Ghufran Mohd Ismail</t>
  </si>
  <si>
    <t>SM0096</t>
  </si>
  <si>
    <t>Muhammad Hafizie Bin Roselamat</t>
  </si>
  <si>
    <t>SM0053</t>
  </si>
  <si>
    <t>Muhammad Imran Ahmad Shabuli</t>
  </si>
  <si>
    <t>SM0088</t>
  </si>
  <si>
    <t>Muhammad Khairul Bin Khamis</t>
  </si>
  <si>
    <t>SM0083</t>
  </si>
  <si>
    <t>Muhammad Shahzad Iftikhar</t>
  </si>
  <si>
    <t>SM0066</t>
  </si>
  <si>
    <t>Nadhirah Nazarudin</t>
  </si>
  <si>
    <t>SM0017</t>
  </si>
  <si>
    <t>Namrata Patil</t>
  </si>
  <si>
    <t>SM0089</t>
  </si>
  <si>
    <t>Nicholas En Tze</t>
  </si>
  <si>
    <t>SM0025</t>
  </si>
  <si>
    <t>Noraieman Afieq Norris</t>
  </si>
  <si>
    <t>SM0034</t>
  </si>
  <si>
    <t>Nur Atiyah Farihah Azaman</t>
  </si>
  <si>
    <t>SM0005</t>
  </si>
  <si>
    <t>Nur Azuren Othman</t>
  </si>
  <si>
    <t>SM0022</t>
  </si>
  <si>
    <t>Nur Diyana Mohd Taib</t>
  </si>
  <si>
    <t>SM0098</t>
  </si>
  <si>
    <t>Nur Farzana Shah</t>
  </si>
  <si>
    <t>SM0012</t>
  </si>
  <si>
    <t>Nur Shadzana Shamsul Anuar</t>
  </si>
  <si>
    <t>SM0015</t>
  </si>
  <si>
    <t>Nyi Nyi Lin</t>
  </si>
  <si>
    <t>SM0038</t>
  </si>
  <si>
    <t>Owais Sultan</t>
  </si>
  <si>
    <t>SM0100</t>
  </si>
  <si>
    <t>Pavithira Selvakumaran</t>
  </si>
  <si>
    <t>SM0040</t>
  </si>
  <si>
    <t>Piyaphon Inthavong</t>
  </si>
  <si>
    <t>Nikkei</t>
  </si>
  <si>
    <t>SM0092</t>
  </si>
  <si>
    <t>Prathik Balachandran</t>
  </si>
  <si>
    <t>SM0010</t>
  </si>
  <si>
    <t>Raj Saha</t>
  </si>
  <si>
    <t>SM0086</t>
  </si>
  <si>
    <t>Refi Fauzan</t>
  </si>
  <si>
    <t>SM0101</t>
  </si>
  <si>
    <t>Riley Ooi</t>
  </si>
  <si>
    <t>SM0084</t>
  </si>
  <si>
    <t>Rohini Krishnan</t>
  </si>
  <si>
    <t>KLK CR</t>
  </si>
  <si>
    <t>SM0014</t>
  </si>
  <si>
    <t>Roodradev Gya</t>
  </si>
  <si>
    <t>SM0074</t>
  </si>
  <si>
    <t>Rubayat Hyder</t>
  </si>
  <si>
    <t>SM0062</t>
  </si>
  <si>
    <t>Ryan Iskandar Afrizal Anwar</t>
  </si>
  <si>
    <t>SM0076</t>
  </si>
  <si>
    <t>Saad Khan</t>
  </si>
  <si>
    <t>SM0067</t>
  </si>
  <si>
    <t>Saber Pourmomenkangacher</t>
  </si>
  <si>
    <t>SM0024</t>
  </si>
  <si>
    <t>Sagar Dave</t>
  </si>
  <si>
    <t>SM0090</t>
  </si>
  <si>
    <t>Sai Khuan Chin</t>
  </si>
  <si>
    <t>SM0081</t>
  </si>
  <si>
    <t>Salman Siddiqui</t>
  </si>
  <si>
    <t>SM0020</t>
  </si>
  <si>
    <t>Sarah Wong</t>
  </si>
  <si>
    <t>SM0006</t>
  </si>
  <si>
    <t>Siti Zulaikha Sheikh Zuljallaly</t>
  </si>
  <si>
    <t>SM0004</t>
  </si>
  <si>
    <t>Stacey Wong</t>
  </si>
  <si>
    <t>SM0058</t>
  </si>
  <si>
    <t>Steven Wijaya</t>
  </si>
  <si>
    <t>SM0037</t>
  </si>
  <si>
    <t>Stevhen Stevhen</t>
  </si>
  <si>
    <t>SM0078</t>
  </si>
  <si>
    <t>Suleman Zaie</t>
  </si>
  <si>
    <t>SM0082</t>
  </si>
  <si>
    <t>Syed Hussain</t>
  </si>
  <si>
    <t>SM0094</t>
  </si>
  <si>
    <t>Teng Khai Sing</t>
  </si>
  <si>
    <t>SM0069</t>
  </si>
  <si>
    <t>Tharmes Tamil Selvam</t>
  </si>
  <si>
    <t>SM0097</t>
  </si>
  <si>
    <t>Timothy Mulhearn</t>
  </si>
  <si>
    <t>SM0008</t>
  </si>
  <si>
    <t>Tingting Xiang</t>
  </si>
  <si>
    <t>SM0077</t>
  </si>
  <si>
    <t>Usama Zubair</t>
  </si>
  <si>
    <t>SM0003</t>
  </si>
  <si>
    <t>Weng Fei Chong</t>
  </si>
  <si>
    <t>SM0080</t>
  </si>
  <si>
    <t>Weng Tan</t>
  </si>
  <si>
    <t>SM0016</t>
  </si>
  <si>
    <t>Yang Hui Cham</t>
  </si>
  <si>
    <t>SM0049</t>
  </si>
  <si>
    <t>Yit Meng Wong</t>
  </si>
  <si>
    <t>SM0065</t>
  </si>
  <si>
    <t>Yunitha Selva Ratnam</t>
  </si>
  <si>
    <t>SM0009</t>
  </si>
  <si>
    <t>Zen Dharma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</si>
</sst>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rgb="FF000000"/>
      <name val="Arial"/>
      <scheme val="minor"/>
    </font>
    <font>
      <color rgb="FF434343"/>
      <name val="Arial"/>
      <scheme val="minor"/>
    </font>
    <font>
      <color rgb="FFFFFFFF"/>
      <name val="Arial"/>
      <scheme val="minor"/>
    </font>
    <font>
      <sz val="11.0"/>
      <color theme="1"/>
      <name val="Calibri"/>
    </font>
    <font>
      <color rgb="FF434343"/>
      <name val="Roboto"/>
    </font>
  </fonts>
  <fills count="7">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CCCCCC"/>
        <bgColor rgb="FFCCCCCC"/>
      </patternFill>
    </fill>
    <fill>
      <patternFill patternType="solid">
        <fgColor rgb="FFB7E1CD"/>
        <bgColor rgb="FFB7E1CD"/>
      </patternFill>
    </fill>
    <fill>
      <patternFill patternType="solid">
        <fgColor rgb="FFF6F8F9"/>
        <bgColor rgb="FFF6F8F9"/>
      </patternFill>
    </fill>
  </fills>
  <borders count="3">
    <border/>
    <border>
      <left style="thin">
        <color rgb="FFB7E1CD"/>
      </left>
      <right style="thin">
        <color rgb="FFB7E1CD"/>
      </right>
      <top style="thin">
        <color rgb="FFB7E1CD"/>
      </top>
      <bottom style="thin">
        <color rgb="FFB7E1CD"/>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2" fontId="2" numFmtId="49" xfId="0" applyAlignment="1" applyFill="1" applyFont="1" applyNumberFormat="1">
      <alignment horizontal="center" readingOrder="0"/>
    </xf>
    <xf borderId="0" fillId="0" fontId="1" numFmtId="49" xfId="0" applyAlignment="1" applyFont="1" applyNumberFormat="1">
      <alignment horizontal="center" readingOrder="0"/>
    </xf>
    <xf borderId="0" fillId="2" fontId="3" numFmtId="49" xfId="0" applyAlignment="1" applyFont="1" applyNumberFormat="1">
      <alignment horizontal="center" readingOrder="0"/>
    </xf>
    <xf borderId="0" fillId="2" fontId="2" numFmtId="49" xfId="0" applyAlignment="1" applyFont="1" applyNumberFormat="1">
      <alignment horizontal="center"/>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2"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2" fontId="4" numFmtId="49" xfId="0" applyAlignment="1" applyFont="1" applyNumberFormat="1">
      <alignment horizontal="center" readingOrder="0" shrinkToFit="0" vertical="center" wrapText="0"/>
    </xf>
    <xf borderId="0" fillId="2" fontId="3" numFmtId="49" xfId="0" applyAlignment="1" applyFont="1" applyNumberFormat="1">
      <alignment horizontal="center" readingOrder="0" shrinkToFit="0" vertical="center" wrapText="0"/>
    </xf>
    <xf borderId="0" fillId="3" fontId="5" numFmtId="0" xfId="0" applyAlignment="1" applyFill="1" applyFont="1">
      <alignment readingOrder="0" shrinkToFit="0" vertical="bottom" wrapText="0"/>
    </xf>
    <xf borderId="0" fillId="3" fontId="5"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2" fontId="1" numFmtId="0" xfId="0" applyAlignment="1" applyFont="1">
      <alignment shrinkToFit="0" vertical="center" wrapText="0"/>
    </xf>
    <xf borderId="0" fillId="2" fontId="1" numFmtId="0" xfId="0" applyAlignment="1" applyFont="1">
      <alignment horizontal="center" readingOrder="0" shrinkToFit="0" vertical="center" wrapText="0"/>
    </xf>
    <xf borderId="0" fillId="0" fontId="5" numFmtId="0" xfId="0" applyAlignment="1" applyFont="1">
      <alignment readingOrder="0" shrinkToFit="0" vertical="bottom" wrapText="0"/>
    </xf>
    <xf borderId="0" fillId="2" fontId="1" numFmtId="0" xfId="0" applyAlignment="1" applyFont="1">
      <alignment shrinkToFit="0" vertical="center"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2" fontId="1" numFmtId="0" xfId="0" applyAlignment="1" applyFont="1">
      <alignment horizontal="center" readingOrder="0" shrinkToFit="0" vertical="center" wrapText="0"/>
    </xf>
    <xf borderId="0" fillId="4" fontId="1" numFmtId="0" xfId="0" applyAlignment="1" applyFill="1" applyFont="1">
      <alignment horizontal="center" readingOrder="0" shrinkToFit="0" vertical="center" wrapText="0"/>
    </xf>
    <xf borderId="0" fillId="0" fontId="1" numFmtId="0" xfId="0" applyAlignment="1" applyFont="1">
      <alignment readingOrder="0" shrinkToFit="0" vertical="center" wrapText="0"/>
    </xf>
    <xf borderId="1" fillId="5" fontId="6" numFmtId="0" xfId="0" applyAlignment="1" applyBorder="1" applyFill="1" applyFont="1">
      <alignment horizontal="center" shrinkToFit="0" vertical="center" wrapText="0"/>
    </xf>
    <xf borderId="0" fillId="5" fontId="6" numFmtId="0" xfId="0" applyAlignment="1" applyFont="1">
      <alignment horizontal="center" shrinkToFit="0" vertical="center" wrapText="0"/>
    </xf>
    <xf borderId="0" fillId="0" fontId="1" numFmtId="0" xfId="0" applyAlignment="1" applyFont="1">
      <alignment shrinkToFit="0" vertical="center" wrapText="0"/>
    </xf>
    <xf borderId="2" fillId="6" fontId="6" numFmtId="0" xfId="0" applyAlignment="1" applyBorder="1" applyFill="1" applyFont="1">
      <alignment horizontal="center" shrinkToFit="0" vertical="center" wrapText="0"/>
    </xf>
    <xf borderId="0" fillId="2" fontId="1" numFmtId="0" xfId="0" applyAlignment="1" applyFont="1">
      <alignment horizontal="center" shrinkToFit="0" vertical="center" wrapText="0"/>
    </xf>
    <xf borderId="0" fillId="2" fontId="1" numFmtId="0" xfId="0" applyAlignment="1" applyFont="1">
      <alignment readingOrder="0" shrinkToFit="0" vertical="center" wrapText="0"/>
    </xf>
    <xf borderId="0" fillId="0" fontId="5" numFmtId="0" xfId="0" applyAlignment="1" applyFont="1">
      <alignment shrinkToFit="0" vertical="bottom" wrapText="0"/>
    </xf>
    <xf borderId="1" fillId="5" fontId="6" numFmtId="0" xfId="0" applyAlignment="1" applyBorder="1" applyFont="1">
      <alignment horizontal="center" shrinkToFit="0" vertical="center" wrapText="0"/>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py of November Time Sheet-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AR116" displayName="Table1" name="Table1" id="1">
  <autoFilter ref="$A$3:$AR$116"/>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Copy of November Time Shee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2.63"/>
    <col customWidth="1" min="2" max="2" width="22.63"/>
    <col customWidth="1" min="3" max="3" width="12.63"/>
    <col customWidth="1" min="4" max="4" width="15.88"/>
    <col customWidth="1" min="5" max="9" width="15.0"/>
    <col customWidth="1" hidden="1" min="10" max="10" width="15.0"/>
    <col customWidth="1" min="11" max="14" width="5.88"/>
    <col customWidth="1" min="15" max="15" width="13.25"/>
    <col customWidth="1" min="16" max="25" width="5.88"/>
    <col customWidth="1" min="26" max="26" width="11.88"/>
    <col customWidth="1" min="27" max="33" width="5.88"/>
    <col customWidth="1" min="34" max="34" width="11.88"/>
    <col customWidth="1" min="35" max="41" width="5.88"/>
    <col customWidth="1" min="42" max="42" width="11.88"/>
    <col customWidth="1" min="43" max="44" width="5.88"/>
  </cols>
  <sheetData>
    <row r="1">
      <c r="A1" s="1"/>
      <c r="B1" s="2"/>
      <c r="C1" s="2"/>
      <c r="D1" s="3"/>
      <c r="E1" s="3"/>
      <c r="F1" s="3"/>
      <c r="G1" s="3"/>
      <c r="H1" s="3"/>
      <c r="I1" s="3"/>
      <c r="J1" s="3"/>
      <c r="K1" s="3"/>
      <c r="L1" s="3"/>
      <c r="M1" s="4"/>
      <c r="N1" s="4"/>
      <c r="O1" s="5"/>
      <c r="P1" s="4"/>
      <c r="Q1" s="4"/>
      <c r="R1" s="4"/>
      <c r="S1" s="3"/>
      <c r="T1" s="3"/>
      <c r="U1" s="4"/>
      <c r="V1" s="4"/>
      <c r="W1" s="4"/>
      <c r="X1" s="4"/>
      <c r="Y1" s="4"/>
      <c r="Z1" s="6"/>
      <c r="AA1" s="3"/>
      <c r="AB1" s="3"/>
      <c r="AC1" s="4"/>
      <c r="AD1" s="4"/>
      <c r="AE1" s="4"/>
      <c r="AF1" s="4"/>
      <c r="AG1" s="4"/>
      <c r="AH1" s="6"/>
      <c r="AI1" s="3"/>
      <c r="AJ1" s="3"/>
      <c r="AK1" s="4"/>
      <c r="AL1" s="4"/>
      <c r="AM1" s="4"/>
      <c r="AN1" s="4"/>
      <c r="AO1" s="4"/>
      <c r="AP1" s="6"/>
      <c r="AQ1" s="3"/>
      <c r="AR1" s="3"/>
    </row>
    <row r="2">
      <c r="A2" s="1"/>
      <c r="B2" s="2"/>
      <c r="C2" s="2"/>
      <c r="D2" s="3"/>
      <c r="E2" s="3"/>
      <c r="F2" s="3"/>
      <c r="G2" s="3"/>
      <c r="H2" s="3"/>
      <c r="I2" s="3"/>
      <c r="J2" s="3"/>
      <c r="K2" s="3" t="s">
        <v>0</v>
      </c>
      <c r="L2" s="3" t="s">
        <v>0</v>
      </c>
      <c r="M2" s="4" t="s">
        <v>1</v>
      </c>
      <c r="N2" s="4" t="s">
        <v>2</v>
      </c>
      <c r="O2" s="5"/>
      <c r="P2" s="4" t="s">
        <v>3</v>
      </c>
      <c r="Q2" s="4" t="s">
        <v>2</v>
      </c>
      <c r="R2" s="4" t="s">
        <v>4</v>
      </c>
      <c r="S2" s="3" t="s">
        <v>0</v>
      </c>
      <c r="T2" s="3" t="s">
        <v>0</v>
      </c>
      <c r="U2" s="4" t="s">
        <v>1</v>
      </c>
      <c r="V2" s="4" t="s">
        <v>2</v>
      </c>
      <c r="W2" s="4" t="s">
        <v>3</v>
      </c>
      <c r="X2" s="4" t="s">
        <v>2</v>
      </c>
      <c r="Y2" s="4" t="s">
        <v>4</v>
      </c>
      <c r="Z2" s="6"/>
      <c r="AA2" s="3" t="s">
        <v>0</v>
      </c>
      <c r="AB2" s="3" t="s">
        <v>0</v>
      </c>
      <c r="AC2" s="4" t="s">
        <v>1</v>
      </c>
      <c r="AD2" s="4" t="s">
        <v>2</v>
      </c>
      <c r="AE2" s="4" t="s">
        <v>3</v>
      </c>
      <c r="AF2" s="4" t="s">
        <v>2</v>
      </c>
      <c r="AG2" s="4" t="s">
        <v>4</v>
      </c>
      <c r="AH2" s="6"/>
      <c r="AI2" s="3" t="s">
        <v>0</v>
      </c>
      <c r="AJ2" s="3" t="s">
        <v>0</v>
      </c>
      <c r="AK2" s="4" t="s">
        <v>1</v>
      </c>
      <c r="AL2" s="4" t="s">
        <v>2</v>
      </c>
      <c r="AM2" s="4" t="s">
        <v>3</v>
      </c>
      <c r="AN2" s="4" t="s">
        <v>2</v>
      </c>
      <c r="AO2" s="4" t="s">
        <v>4</v>
      </c>
      <c r="AP2" s="6"/>
      <c r="AQ2" s="3" t="s">
        <v>0</v>
      </c>
      <c r="AR2" s="3" t="s">
        <v>0</v>
      </c>
    </row>
    <row r="3" ht="22.5" customHeight="1">
      <c r="A3" s="7" t="s">
        <v>5</v>
      </c>
      <c r="B3" s="8" t="s">
        <v>6</v>
      </c>
      <c r="C3" s="8" t="s">
        <v>7</v>
      </c>
      <c r="D3" s="9" t="s">
        <v>8</v>
      </c>
      <c r="E3" s="9" t="s">
        <v>9</v>
      </c>
      <c r="F3" s="9" t="s">
        <v>10</v>
      </c>
      <c r="G3" s="9" t="s">
        <v>11</v>
      </c>
      <c r="H3" s="9" t="s">
        <v>12</v>
      </c>
      <c r="I3" s="9" t="s">
        <v>13</v>
      </c>
      <c r="J3" s="9" t="s">
        <v>14</v>
      </c>
      <c r="K3" s="9" t="s">
        <v>15</v>
      </c>
      <c r="L3" s="9" t="s">
        <v>16</v>
      </c>
      <c r="M3" s="10" t="s">
        <v>17</v>
      </c>
      <c r="N3" s="10" t="s">
        <v>18</v>
      </c>
      <c r="O3" s="11" t="s">
        <v>19</v>
      </c>
      <c r="P3" s="10" t="s">
        <v>20</v>
      </c>
      <c r="Q3" s="10" t="s">
        <v>21</v>
      </c>
      <c r="R3" s="10" t="s">
        <v>22</v>
      </c>
      <c r="S3" s="12" t="s">
        <v>23</v>
      </c>
      <c r="T3" s="12" t="s">
        <v>24</v>
      </c>
      <c r="U3" s="10" t="s">
        <v>25</v>
      </c>
      <c r="V3" s="10" t="s">
        <v>26</v>
      </c>
      <c r="W3" s="10" t="s">
        <v>27</v>
      </c>
      <c r="X3" s="10" t="s">
        <v>28</v>
      </c>
      <c r="Y3" s="10" t="s">
        <v>29</v>
      </c>
      <c r="Z3" s="11" t="s">
        <v>19</v>
      </c>
      <c r="AA3" s="9" t="s">
        <v>30</v>
      </c>
      <c r="AB3" s="9" t="s">
        <v>31</v>
      </c>
      <c r="AC3" s="10" t="s">
        <v>32</v>
      </c>
      <c r="AD3" s="10" t="s">
        <v>33</v>
      </c>
      <c r="AE3" s="10" t="s">
        <v>34</v>
      </c>
      <c r="AF3" s="10" t="s">
        <v>35</v>
      </c>
      <c r="AG3" s="10" t="s">
        <v>36</v>
      </c>
      <c r="AH3" s="11" t="s">
        <v>19</v>
      </c>
      <c r="AI3" s="12" t="s">
        <v>37</v>
      </c>
      <c r="AJ3" s="12" t="s">
        <v>38</v>
      </c>
      <c r="AK3" s="10" t="s">
        <v>39</v>
      </c>
      <c r="AL3" s="10" t="s">
        <v>40</v>
      </c>
      <c r="AM3" s="10" t="s">
        <v>41</v>
      </c>
      <c r="AN3" s="10" t="s">
        <v>42</v>
      </c>
      <c r="AO3" s="10" t="s">
        <v>43</v>
      </c>
      <c r="AP3" s="11" t="s">
        <v>19</v>
      </c>
      <c r="AQ3" s="12" t="s">
        <v>44</v>
      </c>
      <c r="AR3" s="12" t="s">
        <v>45</v>
      </c>
    </row>
    <row r="4" ht="23.25" customHeight="1">
      <c r="A4" s="13" t="s">
        <v>46</v>
      </c>
      <c r="B4" s="13" t="s">
        <v>47</v>
      </c>
      <c r="C4" s="14" t="s">
        <v>48</v>
      </c>
      <c r="D4" s="15" t="s">
        <v>49</v>
      </c>
      <c r="E4" s="16" t="s">
        <v>50</v>
      </c>
      <c r="F4" s="17" t="str">
        <f t="shared" ref="F4:F116" si="1">SWITCH($C4, "Food AI", "Rohini", "KLK CR", "Rohini", "Atlas", "Arabelle", "Bigsweep", "Arabelle", "KLK Olio", "Nicholas", "Nikkei", "Nicholas", "Floater", "Elena", "Mediacorp", "Nicholas", "Operations", "Nicholas", "JBI", "Ean", "PAM AMS", "Kathy", "PAM PDA", "Tingting", "GBG", "Kathy", "Astro", "Nicholas", "BNM", "Nicholas", "")</f>
        <v>Rohini</v>
      </c>
      <c r="G4" s="18">
        <f t="shared" ref="G4:G42" si="2">SUM(K4:AR4)</f>
        <v>120</v>
      </c>
      <c r="H4" s="17">
        <f t="shared" ref="H4:H42" si="3">G4/8</f>
        <v>15</v>
      </c>
      <c r="I4" s="17"/>
      <c r="J4" s="17"/>
      <c r="K4" s="19"/>
      <c r="L4" s="19"/>
      <c r="M4" s="20">
        <v>6.0</v>
      </c>
      <c r="N4" s="20">
        <v>6.0</v>
      </c>
      <c r="O4" s="18" t="b">
        <v>1</v>
      </c>
      <c r="P4" s="20">
        <v>6.0</v>
      </c>
      <c r="Q4" s="20">
        <v>6.0</v>
      </c>
      <c r="R4" s="20">
        <v>6.0</v>
      </c>
      <c r="S4" s="21"/>
      <c r="T4" s="21"/>
      <c r="U4" s="20">
        <v>6.0</v>
      </c>
      <c r="V4" s="20">
        <v>6.0</v>
      </c>
      <c r="W4" s="20">
        <v>6.0</v>
      </c>
      <c r="X4" s="20">
        <v>6.0</v>
      </c>
      <c r="Y4" s="20">
        <v>6.0</v>
      </c>
      <c r="Z4" s="22" t="b">
        <v>1</v>
      </c>
      <c r="AA4" s="21"/>
      <c r="AB4" s="21"/>
      <c r="AC4" s="20">
        <v>6.0</v>
      </c>
      <c r="AD4" s="20">
        <v>6.0</v>
      </c>
      <c r="AE4" s="20">
        <v>6.0</v>
      </c>
      <c r="AF4" s="20">
        <v>6.0</v>
      </c>
      <c r="AG4" s="20">
        <v>6.0</v>
      </c>
      <c r="AH4" s="22" t="b">
        <v>1</v>
      </c>
      <c r="AI4" s="21"/>
      <c r="AJ4" s="21"/>
      <c r="AK4" s="20">
        <v>6.0</v>
      </c>
      <c r="AL4" s="20">
        <v>6.0</v>
      </c>
      <c r="AM4" s="20">
        <v>6.0</v>
      </c>
      <c r="AN4" s="20">
        <v>6.0</v>
      </c>
      <c r="AO4" s="20">
        <v>6.0</v>
      </c>
      <c r="AP4" s="22" t="b">
        <v>1</v>
      </c>
      <c r="AQ4" s="21"/>
      <c r="AR4" s="21"/>
    </row>
    <row r="5" ht="23.25" customHeight="1">
      <c r="A5" s="13" t="s">
        <v>46</v>
      </c>
      <c r="B5" s="13" t="s">
        <v>47</v>
      </c>
      <c r="C5" s="13" t="s">
        <v>51</v>
      </c>
      <c r="D5" s="23" t="s">
        <v>49</v>
      </c>
      <c r="E5" s="16" t="s">
        <v>50</v>
      </c>
      <c r="F5" s="17" t="str">
        <f t="shared" si="1"/>
        <v>Arabelle</v>
      </c>
      <c r="G5" s="18">
        <f t="shared" si="2"/>
        <v>20</v>
      </c>
      <c r="H5" s="17">
        <f t="shared" si="3"/>
        <v>2.5</v>
      </c>
      <c r="I5" s="17"/>
      <c r="J5" s="17"/>
      <c r="K5" s="24"/>
      <c r="L5" s="24"/>
      <c r="M5" s="20">
        <v>1.0</v>
      </c>
      <c r="N5" s="20">
        <v>1.0</v>
      </c>
      <c r="O5" s="18" t="b">
        <v>1</v>
      </c>
      <c r="P5" s="20">
        <v>1.0</v>
      </c>
      <c r="Q5" s="20">
        <v>1.0</v>
      </c>
      <c r="R5" s="20">
        <v>1.0</v>
      </c>
      <c r="S5" s="21"/>
      <c r="T5" s="21"/>
      <c r="U5" s="20">
        <v>1.0</v>
      </c>
      <c r="V5" s="20">
        <v>1.0</v>
      </c>
      <c r="W5" s="20">
        <v>1.0</v>
      </c>
      <c r="X5" s="20">
        <v>1.0</v>
      </c>
      <c r="Y5" s="20">
        <v>1.0</v>
      </c>
      <c r="Z5" s="22" t="b">
        <v>1</v>
      </c>
      <c r="AA5" s="21"/>
      <c r="AB5" s="21"/>
      <c r="AC5" s="20">
        <v>1.0</v>
      </c>
      <c r="AD5" s="20">
        <v>1.0</v>
      </c>
      <c r="AE5" s="20">
        <v>1.0</v>
      </c>
      <c r="AF5" s="20">
        <v>1.0</v>
      </c>
      <c r="AG5" s="20">
        <v>1.0</v>
      </c>
      <c r="AH5" s="22" t="b">
        <v>1</v>
      </c>
      <c r="AI5" s="21"/>
      <c r="AJ5" s="21"/>
      <c r="AK5" s="20">
        <v>1.0</v>
      </c>
      <c r="AL5" s="20">
        <v>1.0</v>
      </c>
      <c r="AM5" s="20">
        <v>1.0</v>
      </c>
      <c r="AN5" s="20">
        <v>1.0</v>
      </c>
      <c r="AO5" s="20">
        <v>1.0</v>
      </c>
      <c r="AP5" s="22" t="b">
        <v>1</v>
      </c>
      <c r="AQ5" s="21"/>
      <c r="AR5" s="21"/>
    </row>
    <row r="6" ht="22.5" customHeight="1">
      <c r="A6" s="13" t="s">
        <v>46</v>
      </c>
      <c r="B6" s="13" t="s">
        <v>47</v>
      </c>
      <c r="C6" s="14" t="s">
        <v>52</v>
      </c>
      <c r="D6" s="23" t="s">
        <v>49</v>
      </c>
      <c r="E6" s="16" t="s">
        <v>50</v>
      </c>
      <c r="F6" s="17" t="str">
        <f t="shared" si="1"/>
        <v>Nicholas</v>
      </c>
      <c r="G6" s="18">
        <f t="shared" si="2"/>
        <v>20</v>
      </c>
      <c r="H6" s="17">
        <f t="shared" si="3"/>
        <v>2.5</v>
      </c>
      <c r="I6" s="17"/>
      <c r="J6" s="17"/>
      <c r="K6" s="24"/>
      <c r="L6" s="24"/>
      <c r="M6" s="20">
        <v>1.0</v>
      </c>
      <c r="N6" s="20">
        <v>1.0</v>
      </c>
      <c r="O6" s="18" t="b">
        <v>1</v>
      </c>
      <c r="P6" s="20">
        <v>1.0</v>
      </c>
      <c r="Q6" s="20">
        <v>1.0</v>
      </c>
      <c r="R6" s="20">
        <v>1.0</v>
      </c>
      <c r="S6" s="21"/>
      <c r="T6" s="21"/>
      <c r="U6" s="20">
        <v>1.0</v>
      </c>
      <c r="V6" s="20">
        <v>1.0</v>
      </c>
      <c r="W6" s="20">
        <v>1.0</v>
      </c>
      <c r="X6" s="20">
        <v>1.0</v>
      </c>
      <c r="Y6" s="20">
        <v>1.0</v>
      </c>
      <c r="Z6" s="22" t="b">
        <v>1</v>
      </c>
      <c r="AA6" s="21"/>
      <c r="AB6" s="21"/>
      <c r="AC6" s="20">
        <v>1.0</v>
      </c>
      <c r="AD6" s="20">
        <v>1.0</v>
      </c>
      <c r="AE6" s="20">
        <v>1.0</v>
      </c>
      <c r="AF6" s="20">
        <v>1.0</v>
      </c>
      <c r="AG6" s="20">
        <v>1.0</v>
      </c>
      <c r="AH6" s="22" t="b">
        <v>1</v>
      </c>
      <c r="AI6" s="21"/>
      <c r="AJ6" s="21"/>
      <c r="AK6" s="20">
        <v>1.0</v>
      </c>
      <c r="AL6" s="20">
        <v>1.0</v>
      </c>
      <c r="AM6" s="20">
        <v>1.0</v>
      </c>
      <c r="AN6" s="20">
        <v>1.0</v>
      </c>
      <c r="AO6" s="20">
        <v>1.0</v>
      </c>
      <c r="AP6" s="22" t="b">
        <v>1</v>
      </c>
      <c r="AQ6" s="21"/>
      <c r="AR6" s="21"/>
    </row>
    <row r="7" ht="22.5" customHeight="1">
      <c r="A7" s="25" t="s">
        <v>53</v>
      </c>
      <c r="B7" s="25" t="s">
        <v>54</v>
      </c>
      <c r="C7" s="26" t="s">
        <v>55</v>
      </c>
      <c r="D7" s="15" t="s">
        <v>56</v>
      </c>
      <c r="E7" s="16" t="s">
        <v>57</v>
      </c>
      <c r="F7" s="17" t="str">
        <f t="shared" si="1"/>
        <v>Kathy</v>
      </c>
      <c r="G7" s="18">
        <f t="shared" si="2"/>
        <v>160</v>
      </c>
      <c r="H7" s="17">
        <f t="shared" si="3"/>
        <v>20</v>
      </c>
      <c r="I7" s="17"/>
      <c r="J7" s="17"/>
      <c r="K7" s="24"/>
      <c r="L7" s="24"/>
      <c r="M7" s="20">
        <f t="shared" ref="M7:N7" si="4">IF($D7="Full Time",8,"")</f>
        <v>8</v>
      </c>
      <c r="N7" s="20">
        <f t="shared" si="4"/>
        <v>8</v>
      </c>
      <c r="O7" s="18" t="b">
        <v>1</v>
      </c>
      <c r="P7" s="20">
        <f t="shared" ref="P7:R7" si="5">IF($D7="Full Time",8,"")</f>
        <v>8</v>
      </c>
      <c r="Q7" s="20">
        <f t="shared" si="5"/>
        <v>8</v>
      </c>
      <c r="R7" s="20">
        <f t="shared" si="5"/>
        <v>8</v>
      </c>
      <c r="S7" s="21"/>
      <c r="T7" s="21"/>
      <c r="U7" s="20">
        <f t="shared" ref="U7:Y7" si="6">IF($D7="Full Time",8,"")</f>
        <v>8</v>
      </c>
      <c r="V7" s="20">
        <f t="shared" si="6"/>
        <v>8</v>
      </c>
      <c r="W7" s="20">
        <f t="shared" si="6"/>
        <v>8</v>
      </c>
      <c r="X7" s="20">
        <f t="shared" si="6"/>
        <v>8</v>
      </c>
      <c r="Y7" s="20">
        <f t="shared" si="6"/>
        <v>8</v>
      </c>
      <c r="Z7" s="22" t="b">
        <v>1</v>
      </c>
      <c r="AA7" s="21"/>
      <c r="AB7" s="21"/>
      <c r="AC7" s="20">
        <f t="shared" ref="AC7:AG7" si="7">IF($D7="Full Time",8,"")</f>
        <v>8</v>
      </c>
      <c r="AD7" s="20">
        <f t="shared" si="7"/>
        <v>8</v>
      </c>
      <c r="AE7" s="20">
        <f t="shared" si="7"/>
        <v>8</v>
      </c>
      <c r="AF7" s="20">
        <f t="shared" si="7"/>
        <v>8</v>
      </c>
      <c r="AG7" s="20">
        <f t="shared" si="7"/>
        <v>8</v>
      </c>
      <c r="AH7" s="22" t="b">
        <v>1</v>
      </c>
      <c r="AI7" s="21"/>
      <c r="AJ7" s="21"/>
      <c r="AK7" s="20">
        <f t="shared" ref="AK7:AO7" si="8">IF($D7="Full Time",8,"")</f>
        <v>8</v>
      </c>
      <c r="AL7" s="20">
        <f t="shared" si="8"/>
        <v>8</v>
      </c>
      <c r="AM7" s="20">
        <f t="shared" si="8"/>
        <v>8</v>
      </c>
      <c r="AN7" s="20">
        <f t="shared" si="8"/>
        <v>8</v>
      </c>
      <c r="AO7" s="20">
        <f t="shared" si="8"/>
        <v>8</v>
      </c>
      <c r="AP7" s="22" t="b">
        <v>1</v>
      </c>
      <c r="AQ7" s="21"/>
      <c r="AR7" s="21"/>
    </row>
    <row r="8" ht="22.5" customHeight="1">
      <c r="A8" s="25" t="s">
        <v>58</v>
      </c>
      <c r="B8" s="25" t="s">
        <v>59</v>
      </c>
      <c r="C8" s="26" t="s">
        <v>60</v>
      </c>
      <c r="D8" s="15" t="s">
        <v>56</v>
      </c>
      <c r="E8" s="16" t="s">
        <v>57</v>
      </c>
      <c r="F8" s="17" t="str">
        <f t="shared" si="1"/>
        <v>Nicholas</v>
      </c>
      <c r="G8" s="18">
        <f t="shared" si="2"/>
        <v>160</v>
      </c>
      <c r="H8" s="17">
        <f t="shared" si="3"/>
        <v>20</v>
      </c>
      <c r="I8" s="17"/>
      <c r="J8" s="17"/>
      <c r="K8" s="24"/>
      <c r="L8" s="24"/>
      <c r="M8" s="20">
        <f t="shared" ref="M8:N8" si="9">IF($D8="Full Time",8,"")</f>
        <v>8</v>
      </c>
      <c r="N8" s="20">
        <f t="shared" si="9"/>
        <v>8</v>
      </c>
      <c r="O8" s="20" t="b">
        <v>1</v>
      </c>
      <c r="P8" s="20">
        <f t="shared" ref="P8:R8" si="10">IF($D8="Full Time",8,"")</f>
        <v>8</v>
      </c>
      <c r="Q8" s="20">
        <f t="shared" si="10"/>
        <v>8</v>
      </c>
      <c r="R8" s="20">
        <f t="shared" si="10"/>
        <v>8</v>
      </c>
      <c r="S8" s="21"/>
      <c r="T8" s="21"/>
      <c r="U8" s="20">
        <f t="shared" ref="U8:Y8" si="11">IF($D8="Full Time",8,"")</f>
        <v>8</v>
      </c>
      <c r="V8" s="20">
        <f t="shared" si="11"/>
        <v>8</v>
      </c>
      <c r="W8" s="20">
        <f t="shared" si="11"/>
        <v>8</v>
      </c>
      <c r="X8" s="20">
        <f t="shared" si="11"/>
        <v>8</v>
      </c>
      <c r="Y8" s="20">
        <f t="shared" si="11"/>
        <v>8</v>
      </c>
      <c r="Z8" s="22" t="b">
        <v>1</v>
      </c>
      <c r="AA8" s="21"/>
      <c r="AB8" s="21"/>
      <c r="AC8" s="20">
        <f t="shared" ref="AC8:AG8" si="12">IF($D8="Full Time",8,"")</f>
        <v>8</v>
      </c>
      <c r="AD8" s="20">
        <f t="shared" si="12"/>
        <v>8</v>
      </c>
      <c r="AE8" s="20">
        <f t="shared" si="12"/>
        <v>8</v>
      </c>
      <c r="AF8" s="20">
        <f t="shared" si="12"/>
        <v>8</v>
      </c>
      <c r="AG8" s="20">
        <f t="shared" si="12"/>
        <v>8</v>
      </c>
      <c r="AH8" s="22" t="b">
        <v>1</v>
      </c>
      <c r="AI8" s="21"/>
      <c r="AJ8" s="21"/>
      <c r="AK8" s="20">
        <f t="shared" ref="AK8:AO8" si="13">IF($D8="Full Time",8,"")</f>
        <v>8</v>
      </c>
      <c r="AL8" s="20">
        <f t="shared" si="13"/>
        <v>8</v>
      </c>
      <c r="AM8" s="20">
        <f t="shared" si="13"/>
        <v>8</v>
      </c>
      <c r="AN8" s="20">
        <f t="shared" si="13"/>
        <v>8</v>
      </c>
      <c r="AO8" s="20">
        <f t="shared" si="13"/>
        <v>8</v>
      </c>
      <c r="AP8" s="22" t="b">
        <v>1</v>
      </c>
      <c r="AQ8" s="21"/>
      <c r="AR8" s="21"/>
    </row>
    <row r="9" ht="22.5" customHeight="1">
      <c r="A9" s="25" t="s">
        <v>61</v>
      </c>
      <c r="B9" s="25" t="s">
        <v>62</v>
      </c>
      <c r="C9" s="26" t="s">
        <v>63</v>
      </c>
      <c r="D9" s="15" t="s">
        <v>56</v>
      </c>
      <c r="E9" s="16" t="s">
        <v>57</v>
      </c>
      <c r="F9" s="17" t="str">
        <f t="shared" si="1"/>
        <v>Ean</v>
      </c>
      <c r="G9" s="18">
        <f t="shared" si="2"/>
        <v>160</v>
      </c>
      <c r="H9" s="17">
        <f t="shared" si="3"/>
        <v>20</v>
      </c>
      <c r="I9" s="17"/>
      <c r="J9" s="17"/>
      <c r="K9" s="24"/>
      <c r="L9" s="24"/>
      <c r="M9" s="20">
        <f t="shared" ref="M9:N9" si="14">IF($D9="Full Time",8,"")</f>
        <v>8</v>
      </c>
      <c r="N9" s="20">
        <f t="shared" si="14"/>
        <v>8</v>
      </c>
      <c r="O9" s="18" t="b">
        <v>1</v>
      </c>
      <c r="P9" s="20">
        <f t="shared" ref="P9:R9" si="15">IF($D9="Full Time",8,"")</f>
        <v>8</v>
      </c>
      <c r="Q9" s="20">
        <f t="shared" si="15"/>
        <v>8</v>
      </c>
      <c r="R9" s="20">
        <f t="shared" si="15"/>
        <v>8</v>
      </c>
      <c r="S9" s="21"/>
      <c r="T9" s="21"/>
      <c r="U9" s="20">
        <f t="shared" ref="U9:Y9" si="16">IF($D9="Full Time",8,"")</f>
        <v>8</v>
      </c>
      <c r="V9" s="20">
        <f t="shared" si="16"/>
        <v>8</v>
      </c>
      <c r="W9" s="20">
        <f t="shared" si="16"/>
        <v>8</v>
      </c>
      <c r="X9" s="20">
        <f t="shared" si="16"/>
        <v>8</v>
      </c>
      <c r="Y9" s="20">
        <f t="shared" si="16"/>
        <v>8</v>
      </c>
      <c r="Z9" s="22" t="b">
        <v>1</v>
      </c>
      <c r="AA9" s="21"/>
      <c r="AB9" s="21"/>
      <c r="AC9" s="20">
        <f t="shared" ref="AC9:AG9" si="17">IF($D9="Full Time",8,"")</f>
        <v>8</v>
      </c>
      <c r="AD9" s="20">
        <f t="shared" si="17"/>
        <v>8</v>
      </c>
      <c r="AE9" s="20">
        <f t="shared" si="17"/>
        <v>8</v>
      </c>
      <c r="AF9" s="20">
        <f t="shared" si="17"/>
        <v>8</v>
      </c>
      <c r="AG9" s="20">
        <f t="shared" si="17"/>
        <v>8</v>
      </c>
      <c r="AH9" s="22" t="b">
        <v>1</v>
      </c>
      <c r="AI9" s="21"/>
      <c r="AJ9" s="21"/>
      <c r="AK9" s="20">
        <f t="shared" ref="AK9:AO9" si="18">IF($D9="Full Time",8,"")</f>
        <v>8</v>
      </c>
      <c r="AL9" s="20">
        <f t="shared" si="18"/>
        <v>8</v>
      </c>
      <c r="AM9" s="20">
        <f t="shared" si="18"/>
        <v>8</v>
      </c>
      <c r="AN9" s="20">
        <f t="shared" si="18"/>
        <v>8</v>
      </c>
      <c r="AO9" s="20">
        <f t="shared" si="18"/>
        <v>8</v>
      </c>
      <c r="AP9" s="22" t="b">
        <v>1</v>
      </c>
      <c r="AQ9" s="21"/>
      <c r="AR9" s="21"/>
    </row>
    <row r="10" ht="22.5" customHeight="1">
      <c r="A10" s="25" t="s">
        <v>64</v>
      </c>
      <c r="B10" s="25" t="s">
        <v>65</v>
      </c>
      <c r="C10" s="26" t="s">
        <v>66</v>
      </c>
      <c r="D10" s="15" t="s">
        <v>56</v>
      </c>
      <c r="E10" s="16" t="s">
        <v>50</v>
      </c>
      <c r="F10" s="17" t="str">
        <f t="shared" si="1"/>
        <v>Tingting</v>
      </c>
      <c r="G10" s="18">
        <f t="shared" si="2"/>
        <v>160</v>
      </c>
      <c r="H10" s="17">
        <f t="shared" si="3"/>
        <v>20</v>
      </c>
      <c r="I10" s="17"/>
      <c r="J10" s="17"/>
      <c r="K10" s="24"/>
      <c r="L10" s="24"/>
      <c r="M10" s="20">
        <f t="shared" ref="M10:N10" si="19">IF($D10="Full Time",8,"")</f>
        <v>8</v>
      </c>
      <c r="N10" s="20">
        <f t="shared" si="19"/>
        <v>8</v>
      </c>
      <c r="O10" s="18" t="b">
        <v>1</v>
      </c>
      <c r="P10" s="20">
        <f t="shared" ref="P10:R10" si="20">IF($D10="Full Time",8,"")</f>
        <v>8</v>
      </c>
      <c r="Q10" s="20">
        <f t="shared" si="20"/>
        <v>8</v>
      </c>
      <c r="R10" s="20">
        <f t="shared" si="20"/>
        <v>8</v>
      </c>
      <c r="S10" s="21"/>
      <c r="T10" s="21"/>
      <c r="U10" s="20">
        <f t="shared" ref="U10:Y10" si="21">IF($D10="Full Time",8,"")</f>
        <v>8</v>
      </c>
      <c r="V10" s="20">
        <f t="shared" si="21"/>
        <v>8</v>
      </c>
      <c r="W10" s="20">
        <f t="shared" si="21"/>
        <v>8</v>
      </c>
      <c r="X10" s="20">
        <f t="shared" si="21"/>
        <v>8</v>
      </c>
      <c r="Y10" s="20">
        <f t="shared" si="21"/>
        <v>8</v>
      </c>
      <c r="Z10" s="22" t="b">
        <v>1</v>
      </c>
      <c r="AA10" s="21"/>
      <c r="AB10" s="21"/>
      <c r="AC10" s="20">
        <f t="shared" ref="AC10:AG10" si="22">IF($D10="Full Time",8,"")</f>
        <v>8</v>
      </c>
      <c r="AD10" s="20">
        <f t="shared" si="22"/>
        <v>8</v>
      </c>
      <c r="AE10" s="20">
        <f t="shared" si="22"/>
        <v>8</v>
      </c>
      <c r="AF10" s="20">
        <f t="shared" si="22"/>
        <v>8</v>
      </c>
      <c r="AG10" s="20">
        <f t="shared" si="22"/>
        <v>8</v>
      </c>
      <c r="AH10" s="22" t="b">
        <v>1</v>
      </c>
      <c r="AI10" s="21"/>
      <c r="AJ10" s="21"/>
      <c r="AK10" s="20">
        <f t="shared" ref="AK10:AO10" si="23">IF($D10="Full Time",8,"")</f>
        <v>8</v>
      </c>
      <c r="AL10" s="20">
        <f t="shared" si="23"/>
        <v>8</v>
      </c>
      <c r="AM10" s="20">
        <f t="shared" si="23"/>
        <v>8</v>
      </c>
      <c r="AN10" s="20">
        <f t="shared" si="23"/>
        <v>8</v>
      </c>
      <c r="AO10" s="20">
        <f t="shared" si="23"/>
        <v>8</v>
      </c>
      <c r="AP10" s="22" t="b">
        <v>1</v>
      </c>
      <c r="AQ10" s="21"/>
      <c r="AR10" s="21"/>
    </row>
    <row r="11" ht="22.5" customHeight="1">
      <c r="A11" s="25" t="s">
        <v>67</v>
      </c>
      <c r="B11" s="25" t="s">
        <v>68</v>
      </c>
      <c r="C11" s="26" t="s">
        <v>55</v>
      </c>
      <c r="D11" s="15" t="s">
        <v>56</v>
      </c>
      <c r="E11" s="16" t="s">
        <v>57</v>
      </c>
      <c r="F11" s="17" t="str">
        <f t="shared" si="1"/>
        <v>Kathy</v>
      </c>
      <c r="G11" s="18">
        <f t="shared" si="2"/>
        <v>160</v>
      </c>
      <c r="H11" s="17">
        <f t="shared" si="3"/>
        <v>20</v>
      </c>
      <c r="I11" s="17"/>
      <c r="J11" s="17"/>
      <c r="K11" s="24"/>
      <c r="L11" s="24"/>
      <c r="M11" s="20">
        <f t="shared" ref="M11:N11" si="24">IF($D11="Full Time",8,"")</f>
        <v>8</v>
      </c>
      <c r="N11" s="20">
        <f t="shared" si="24"/>
        <v>8</v>
      </c>
      <c r="O11" s="18" t="b">
        <v>1</v>
      </c>
      <c r="P11" s="20">
        <f t="shared" ref="P11:R11" si="25">IF($D11="Full Time",8,"")</f>
        <v>8</v>
      </c>
      <c r="Q11" s="20">
        <f t="shared" si="25"/>
        <v>8</v>
      </c>
      <c r="R11" s="20">
        <f t="shared" si="25"/>
        <v>8</v>
      </c>
      <c r="S11" s="21"/>
      <c r="T11" s="21"/>
      <c r="U11" s="20">
        <f t="shared" ref="U11:Y11" si="26">IF($D11="Full Time",8,"")</f>
        <v>8</v>
      </c>
      <c r="V11" s="20">
        <f t="shared" si="26"/>
        <v>8</v>
      </c>
      <c r="W11" s="20">
        <f t="shared" si="26"/>
        <v>8</v>
      </c>
      <c r="X11" s="20">
        <f t="shared" si="26"/>
        <v>8</v>
      </c>
      <c r="Y11" s="20">
        <f t="shared" si="26"/>
        <v>8</v>
      </c>
      <c r="Z11" s="22" t="b">
        <v>1</v>
      </c>
      <c r="AA11" s="21"/>
      <c r="AB11" s="21"/>
      <c r="AC11" s="20">
        <f t="shared" ref="AC11:AG11" si="27">IF($D11="Full Time",8,"")</f>
        <v>8</v>
      </c>
      <c r="AD11" s="20">
        <f t="shared" si="27"/>
        <v>8</v>
      </c>
      <c r="AE11" s="20">
        <f t="shared" si="27"/>
        <v>8</v>
      </c>
      <c r="AF11" s="20">
        <f t="shared" si="27"/>
        <v>8</v>
      </c>
      <c r="AG11" s="20">
        <f t="shared" si="27"/>
        <v>8</v>
      </c>
      <c r="AH11" s="22" t="b">
        <v>1</v>
      </c>
      <c r="AI11" s="21"/>
      <c r="AJ11" s="21"/>
      <c r="AK11" s="20">
        <f t="shared" ref="AK11:AO11" si="28">IF($D11="Full Time",8,"")</f>
        <v>8</v>
      </c>
      <c r="AL11" s="20">
        <f t="shared" si="28"/>
        <v>8</v>
      </c>
      <c r="AM11" s="20">
        <f t="shared" si="28"/>
        <v>8</v>
      </c>
      <c r="AN11" s="20">
        <f t="shared" si="28"/>
        <v>8</v>
      </c>
      <c r="AO11" s="20">
        <f t="shared" si="28"/>
        <v>8</v>
      </c>
      <c r="AP11" s="22" t="b">
        <v>1</v>
      </c>
      <c r="AQ11" s="21"/>
      <c r="AR11" s="21"/>
    </row>
    <row r="12" ht="22.5" customHeight="1">
      <c r="A12" s="25" t="s">
        <v>69</v>
      </c>
      <c r="B12" s="25" t="s">
        <v>70</v>
      </c>
      <c r="C12" s="26" t="s">
        <v>71</v>
      </c>
      <c r="D12" s="15" t="s">
        <v>56</v>
      </c>
      <c r="E12" s="16" t="s">
        <v>57</v>
      </c>
      <c r="F12" s="17" t="str">
        <f t="shared" si="1"/>
        <v>Nicholas</v>
      </c>
      <c r="G12" s="18">
        <f t="shared" si="2"/>
        <v>160</v>
      </c>
      <c r="H12" s="17">
        <f t="shared" si="3"/>
        <v>20</v>
      </c>
      <c r="I12" s="17"/>
      <c r="J12" s="17"/>
      <c r="K12" s="24"/>
      <c r="L12" s="24"/>
      <c r="M12" s="20">
        <f t="shared" ref="M12:N12" si="29">IF($D12="Full Time",8,"")</f>
        <v>8</v>
      </c>
      <c r="N12" s="20">
        <f t="shared" si="29"/>
        <v>8</v>
      </c>
      <c r="O12" s="18" t="b">
        <v>1</v>
      </c>
      <c r="P12" s="20">
        <f t="shared" ref="P12:R12" si="30">IF($D12="Full Time",8,"")</f>
        <v>8</v>
      </c>
      <c r="Q12" s="20">
        <f t="shared" si="30"/>
        <v>8</v>
      </c>
      <c r="R12" s="20">
        <f t="shared" si="30"/>
        <v>8</v>
      </c>
      <c r="S12" s="21"/>
      <c r="T12" s="21"/>
      <c r="U12" s="20">
        <f t="shared" ref="U12:Y12" si="31">IF($D12="Full Time",8,"")</f>
        <v>8</v>
      </c>
      <c r="V12" s="20">
        <f t="shared" si="31"/>
        <v>8</v>
      </c>
      <c r="W12" s="20">
        <f t="shared" si="31"/>
        <v>8</v>
      </c>
      <c r="X12" s="20">
        <f t="shared" si="31"/>
        <v>8</v>
      </c>
      <c r="Y12" s="20">
        <f t="shared" si="31"/>
        <v>8</v>
      </c>
      <c r="Z12" s="22" t="b">
        <v>1</v>
      </c>
      <c r="AA12" s="21"/>
      <c r="AB12" s="21"/>
      <c r="AC12" s="20">
        <f t="shared" ref="AC12:AG12" si="32">IF($D12="Full Time",8,"")</f>
        <v>8</v>
      </c>
      <c r="AD12" s="20">
        <f t="shared" si="32"/>
        <v>8</v>
      </c>
      <c r="AE12" s="20">
        <f t="shared" si="32"/>
        <v>8</v>
      </c>
      <c r="AF12" s="20">
        <f t="shared" si="32"/>
        <v>8</v>
      </c>
      <c r="AG12" s="20">
        <f t="shared" si="32"/>
        <v>8</v>
      </c>
      <c r="AH12" s="22" t="b">
        <v>1</v>
      </c>
      <c r="AI12" s="21"/>
      <c r="AJ12" s="21"/>
      <c r="AK12" s="20">
        <f t="shared" ref="AK12:AO12" si="33">IF($D12="Full Time",8,"")</f>
        <v>8</v>
      </c>
      <c r="AL12" s="20">
        <f t="shared" si="33"/>
        <v>8</v>
      </c>
      <c r="AM12" s="20">
        <f t="shared" si="33"/>
        <v>8</v>
      </c>
      <c r="AN12" s="20">
        <f t="shared" si="33"/>
        <v>8</v>
      </c>
      <c r="AO12" s="20">
        <f t="shared" si="33"/>
        <v>8</v>
      </c>
      <c r="AP12" s="22" t="b">
        <v>1</v>
      </c>
      <c r="AQ12" s="21"/>
      <c r="AR12" s="21"/>
    </row>
    <row r="13" ht="22.5" customHeight="1">
      <c r="A13" s="25" t="s">
        <v>72</v>
      </c>
      <c r="B13" s="25" t="s">
        <v>73</v>
      </c>
      <c r="C13" s="26" t="s">
        <v>74</v>
      </c>
      <c r="D13" s="15" t="s">
        <v>56</v>
      </c>
      <c r="E13" s="16" t="s">
        <v>57</v>
      </c>
      <c r="F13" s="17" t="str">
        <f t="shared" si="1"/>
        <v>Kathy</v>
      </c>
      <c r="G13" s="18">
        <f t="shared" si="2"/>
        <v>160</v>
      </c>
      <c r="H13" s="17">
        <f t="shared" si="3"/>
        <v>20</v>
      </c>
      <c r="I13" s="17"/>
      <c r="J13" s="17"/>
      <c r="K13" s="24"/>
      <c r="L13" s="24"/>
      <c r="M13" s="20">
        <f t="shared" ref="M13:N13" si="34">IF($D13="Full Time",8,"")</f>
        <v>8</v>
      </c>
      <c r="N13" s="20">
        <f t="shared" si="34"/>
        <v>8</v>
      </c>
      <c r="O13" s="18" t="b">
        <v>1</v>
      </c>
      <c r="P13" s="20">
        <f t="shared" ref="P13:R13" si="35">IF($D13="Full Time",8,"")</f>
        <v>8</v>
      </c>
      <c r="Q13" s="20">
        <f t="shared" si="35"/>
        <v>8</v>
      </c>
      <c r="R13" s="20">
        <f t="shared" si="35"/>
        <v>8</v>
      </c>
      <c r="S13" s="21"/>
      <c r="T13" s="21"/>
      <c r="U13" s="20">
        <f t="shared" ref="U13:Y13" si="36">IF($D13="Full Time",8,"")</f>
        <v>8</v>
      </c>
      <c r="V13" s="20">
        <f t="shared" si="36"/>
        <v>8</v>
      </c>
      <c r="W13" s="20">
        <f t="shared" si="36"/>
        <v>8</v>
      </c>
      <c r="X13" s="20">
        <f t="shared" si="36"/>
        <v>8</v>
      </c>
      <c r="Y13" s="20">
        <f t="shared" si="36"/>
        <v>8</v>
      </c>
      <c r="Z13" s="22" t="b">
        <v>1</v>
      </c>
      <c r="AA13" s="21"/>
      <c r="AB13" s="21"/>
      <c r="AC13" s="20">
        <f t="shared" ref="AC13:AG13" si="37">IF($D13="Full Time",8,"")</f>
        <v>8</v>
      </c>
      <c r="AD13" s="20">
        <f t="shared" si="37"/>
        <v>8</v>
      </c>
      <c r="AE13" s="20">
        <f t="shared" si="37"/>
        <v>8</v>
      </c>
      <c r="AF13" s="20">
        <f t="shared" si="37"/>
        <v>8</v>
      </c>
      <c r="AG13" s="20">
        <f t="shared" si="37"/>
        <v>8</v>
      </c>
      <c r="AH13" s="22" t="b">
        <v>1</v>
      </c>
      <c r="AI13" s="21"/>
      <c r="AJ13" s="21"/>
      <c r="AK13" s="20">
        <f t="shared" ref="AK13:AO13" si="38">IF($D13="Full Time",8,"")</f>
        <v>8</v>
      </c>
      <c r="AL13" s="20">
        <f t="shared" si="38"/>
        <v>8</v>
      </c>
      <c r="AM13" s="20">
        <f t="shared" si="38"/>
        <v>8</v>
      </c>
      <c r="AN13" s="20">
        <f t="shared" si="38"/>
        <v>8</v>
      </c>
      <c r="AO13" s="20">
        <f t="shared" si="38"/>
        <v>8</v>
      </c>
      <c r="AP13" s="22" t="b">
        <v>1</v>
      </c>
      <c r="AQ13" s="21"/>
      <c r="AR13" s="21"/>
    </row>
    <row r="14" ht="22.5" customHeight="1">
      <c r="A14" s="25" t="s">
        <v>75</v>
      </c>
      <c r="B14" s="25" t="s">
        <v>76</v>
      </c>
      <c r="C14" s="26" t="s">
        <v>63</v>
      </c>
      <c r="D14" s="15" t="s">
        <v>56</v>
      </c>
      <c r="E14" s="16" t="s">
        <v>57</v>
      </c>
      <c r="F14" s="17" t="str">
        <f t="shared" si="1"/>
        <v>Ean</v>
      </c>
      <c r="G14" s="18">
        <f t="shared" si="2"/>
        <v>160</v>
      </c>
      <c r="H14" s="17">
        <f t="shared" si="3"/>
        <v>20</v>
      </c>
      <c r="I14" s="17"/>
      <c r="J14" s="17"/>
      <c r="K14" s="24"/>
      <c r="L14" s="24"/>
      <c r="M14" s="20">
        <f t="shared" ref="M14:N14" si="39">IF($D14="Full Time",8,"")</f>
        <v>8</v>
      </c>
      <c r="N14" s="20">
        <f t="shared" si="39"/>
        <v>8</v>
      </c>
      <c r="O14" s="18" t="b">
        <v>1</v>
      </c>
      <c r="P14" s="20">
        <f t="shared" ref="P14:R14" si="40">IF($D14="Full Time",8,"")</f>
        <v>8</v>
      </c>
      <c r="Q14" s="20">
        <f t="shared" si="40"/>
        <v>8</v>
      </c>
      <c r="R14" s="20">
        <f t="shared" si="40"/>
        <v>8</v>
      </c>
      <c r="S14" s="21"/>
      <c r="T14" s="21"/>
      <c r="U14" s="20">
        <f t="shared" ref="U14:Y14" si="41">IF($D14="Full Time",8,"")</f>
        <v>8</v>
      </c>
      <c r="V14" s="20">
        <f t="shared" si="41"/>
        <v>8</v>
      </c>
      <c r="W14" s="20">
        <f t="shared" si="41"/>
        <v>8</v>
      </c>
      <c r="X14" s="20">
        <f t="shared" si="41"/>
        <v>8</v>
      </c>
      <c r="Y14" s="20">
        <f t="shared" si="41"/>
        <v>8</v>
      </c>
      <c r="Z14" s="22" t="b">
        <v>1</v>
      </c>
      <c r="AA14" s="21"/>
      <c r="AB14" s="21"/>
      <c r="AC14" s="20">
        <f t="shared" ref="AC14:AG14" si="42">IF($D14="Full Time",8,"")</f>
        <v>8</v>
      </c>
      <c r="AD14" s="20">
        <f t="shared" si="42"/>
        <v>8</v>
      </c>
      <c r="AE14" s="20">
        <f t="shared" si="42"/>
        <v>8</v>
      </c>
      <c r="AF14" s="20">
        <f t="shared" si="42"/>
        <v>8</v>
      </c>
      <c r="AG14" s="20">
        <f t="shared" si="42"/>
        <v>8</v>
      </c>
      <c r="AH14" s="22" t="b">
        <v>1</v>
      </c>
      <c r="AI14" s="21"/>
      <c r="AJ14" s="21"/>
      <c r="AK14" s="20">
        <f t="shared" ref="AK14:AO14" si="43">IF($D14="Full Time",8,"")</f>
        <v>8</v>
      </c>
      <c r="AL14" s="20">
        <f t="shared" si="43"/>
        <v>8</v>
      </c>
      <c r="AM14" s="20">
        <f t="shared" si="43"/>
        <v>8</v>
      </c>
      <c r="AN14" s="20">
        <f t="shared" si="43"/>
        <v>8</v>
      </c>
      <c r="AO14" s="20">
        <f t="shared" si="43"/>
        <v>8</v>
      </c>
      <c r="AP14" s="22" t="b">
        <v>1</v>
      </c>
      <c r="AQ14" s="21"/>
      <c r="AR14" s="21"/>
    </row>
    <row r="15" ht="22.5" customHeight="1">
      <c r="A15" s="25" t="s">
        <v>77</v>
      </c>
      <c r="B15" s="25" t="s">
        <v>78</v>
      </c>
      <c r="C15" s="26" t="s">
        <v>74</v>
      </c>
      <c r="D15" s="15" t="s">
        <v>56</v>
      </c>
      <c r="E15" s="16" t="s">
        <v>57</v>
      </c>
      <c r="F15" s="17" t="str">
        <f t="shared" si="1"/>
        <v>Kathy</v>
      </c>
      <c r="G15" s="18">
        <f t="shared" si="2"/>
        <v>160</v>
      </c>
      <c r="H15" s="18">
        <f t="shared" si="3"/>
        <v>20</v>
      </c>
      <c r="I15" s="18"/>
      <c r="J15" s="18"/>
      <c r="K15" s="27"/>
      <c r="L15" s="27"/>
      <c r="M15" s="20">
        <f t="shared" ref="M15:N15" si="44">IF($D15="Full Time",8,"")</f>
        <v>8</v>
      </c>
      <c r="N15" s="20">
        <f t="shared" si="44"/>
        <v>8</v>
      </c>
      <c r="O15" s="18" t="b">
        <v>1</v>
      </c>
      <c r="P15" s="20">
        <f t="shared" ref="P15:R15" si="45">IF($D15="Full Time",8,"")</f>
        <v>8</v>
      </c>
      <c r="Q15" s="20">
        <f t="shared" si="45"/>
        <v>8</v>
      </c>
      <c r="R15" s="20">
        <f t="shared" si="45"/>
        <v>8</v>
      </c>
      <c r="S15" s="27"/>
      <c r="T15" s="27"/>
      <c r="U15" s="20">
        <f t="shared" ref="U15:Y15" si="46">IF($D15="Full Time",8,"")</f>
        <v>8</v>
      </c>
      <c r="V15" s="20">
        <f t="shared" si="46"/>
        <v>8</v>
      </c>
      <c r="W15" s="20">
        <f t="shared" si="46"/>
        <v>8</v>
      </c>
      <c r="X15" s="20">
        <f t="shared" si="46"/>
        <v>8</v>
      </c>
      <c r="Y15" s="20">
        <f t="shared" si="46"/>
        <v>8</v>
      </c>
      <c r="Z15" s="22" t="b">
        <v>1</v>
      </c>
      <c r="AA15" s="27"/>
      <c r="AB15" s="27"/>
      <c r="AC15" s="20">
        <f t="shared" ref="AC15:AG15" si="47">IF($D15="Full Time",8,"")</f>
        <v>8</v>
      </c>
      <c r="AD15" s="20">
        <f t="shared" si="47"/>
        <v>8</v>
      </c>
      <c r="AE15" s="20">
        <f t="shared" si="47"/>
        <v>8</v>
      </c>
      <c r="AF15" s="20">
        <f t="shared" si="47"/>
        <v>8</v>
      </c>
      <c r="AG15" s="20">
        <f t="shared" si="47"/>
        <v>8</v>
      </c>
      <c r="AH15" s="22" t="b">
        <v>1</v>
      </c>
      <c r="AI15" s="27"/>
      <c r="AJ15" s="27"/>
      <c r="AK15" s="20">
        <f t="shared" ref="AK15:AO15" si="48">IF($D15="Full Time",8,"")</f>
        <v>8</v>
      </c>
      <c r="AL15" s="20">
        <f t="shared" si="48"/>
        <v>8</v>
      </c>
      <c r="AM15" s="20">
        <f t="shared" si="48"/>
        <v>8</v>
      </c>
      <c r="AN15" s="20">
        <f t="shared" si="48"/>
        <v>8</v>
      </c>
      <c r="AO15" s="20">
        <f t="shared" si="48"/>
        <v>8</v>
      </c>
      <c r="AP15" s="22" t="b">
        <v>1</v>
      </c>
      <c r="AQ15" s="27"/>
      <c r="AR15" s="27"/>
    </row>
    <row r="16" ht="22.5" customHeight="1">
      <c r="A16" s="25" t="s">
        <v>79</v>
      </c>
      <c r="B16" s="25" t="s">
        <v>80</v>
      </c>
      <c r="C16" s="26" t="s">
        <v>52</v>
      </c>
      <c r="D16" s="15" t="s">
        <v>56</v>
      </c>
      <c r="E16" s="16" t="s">
        <v>50</v>
      </c>
      <c r="F16" s="17" t="str">
        <f t="shared" si="1"/>
        <v>Nicholas</v>
      </c>
      <c r="G16" s="18">
        <f t="shared" si="2"/>
        <v>160</v>
      </c>
      <c r="H16" s="17">
        <f t="shared" si="3"/>
        <v>20</v>
      </c>
      <c r="I16" s="17"/>
      <c r="J16" s="17"/>
      <c r="K16" s="24"/>
      <c r="L16" s="24"/>
      <c r="M16" s="20">
        <f t="shared" ref="M16:N16" si="49">IF($D16="Full Time",8,"")</f>
        <v>8</v>
      </c>
      <c r="N16" s="20">
        <f t="shared" si="49"/>
        <v>8</v>
      </c>
      <c r="O16" s="18" t="b">
        <v>1</v>
      </c>
      <c r="P16" s="20">
        <f t="shared" ref="P16:R16" si="50">IF($D16="Full Time",8,"")</f>
        <v>8</v>
      </c>
      <c r="Q16" s="20">
        <f t="shared" si="50"/>
        <v>8</v>
      </c>
      <c r="R16" s="20">
        <f t="shared" si="50"/>
        <v>8</v>
      </c>
      <c r="S16" s="21"/>
      <c r="T16" s="21"/>
      <c r="U16" s="20">
        <f t="shared" ref="U16:Y16" si="51">IF($D16="Full Time",8,"")</f>
        <v>8</v>
      </c>
      <c r="V16" s="20">
        <f t="shared" si="51"/>
        <v>8</v>
      </c>
      <c r="W16" s="20">
        <f t="shared" si="51"/>
        <v>8</v>
      </c>
      <c r="X16" s="20">
        <f t="shared" si="51"/>
        <v>8</v>
      </c>
      <c r="Y16" s="20">
        <f t="shared" si="51"/>
        <v>8</v>
      </c>
      <c r="Z16" s="22" t="b">
        <v>1</v>
      </c>
      <c r="AA16" s="21"/>
      <c r="AB16" s="21"/>
      <c r="AC16" s="20">
        <f t="shared" ref="AC16:AG16" si="52">IF($D16="Full Time",8,"")</f>
        <v>8</v>
      </c>
      <c r="AD16" s="20">
        <f t="shared" si="52"/>
        <v>8</v>
      </c>
      <c r="AE16" s="20">
        <f t="shared" si="52"/>
        <v>8</v>
      </c>
      <c r="AF16" s="20">
        <f t="shared" si="52"/>
        <v>8</v>
      </c>
      <c r="AG16" s="20">
        <f t="shared" si="52"/>
        <v>8</v>
      </c>
      <c r="AH16" s="22" t="b">
        <v>1</v>
      </c>
      <c r="AI16" s="21"/>
      <c r="AJ16" s="21"/>
      <c r="AK16" s="20">
        <f t="shared" ref="AK16:AO16" si="53">IF($D16="Full Time",8,"")</f>
        <v>8</v>
      </c>
      <c r="AL16" s="20">
        <f t="shared" si="53"/>
        <v>8</v>
      </c>
      <c r="AM16" s="20">
        <f t="shared" si="53"/>
        <v>8</v>
      </c>
      <c r="AN16" s="20">
        <f t="shared" si="53"/>
        <v>8</v>
      </c>
      <c r="AO16" s="20">
        <f t="shared" si="53"/>
        <v>8</v>
      </c>
      <c r="AP16" s="22" t="b">
        <v>1</v>
      </c>
      <c r="AQ16" s="21"/>
      <c r="AR16" s="21"/>
    </row>
    <row r="17" ht="22.5" customHeight="1">
      <c r="A17" s="13" t="s">
        <v>81</v>
      </c>
      <c r="B17" s="13" t="s">
        <v>82</v>
      </c>
      <c r="C17" s="14" t="s">
        <v>63</v>
      </c>
      <c r="D17" s="15" t="s">
        <v>49</v>
      </c>
      <c r="E17" s="16" t="s">
        <v>57</v>
      </c>
      <c r="F17" s="17" t="str">
        <f t="shared" si="1"/>
        <v>Ean</v>
      </c>
      <c r="G17" s="18">
        <f t="shared" si="2"/>
        <v>160</v>
      </c>
      <c r="H17" s="17">
        <f t="shared" si="3"/>
        <v>20</v>
      </c>
      <c r="I17" s="17"/>
      <c r="J17" s="17"/>
      <c r="K17" s="24"/>
      <c r="L17" s="24"/>
      <c r="M17" s="20">
        <v>8.0</v>
      </c>
      <c r="N17" s="20">
        <v>8.0</v>
      </c>
      <c r="O17" s="18" t="b">
        <v>1</v>
      </c>
      <c r="P17" s="20">
        <v>8.0</v>
      </c>
      <c r="Q17" s="20">
        <v>8.0</v>
      </c>
      <c r="R17" s="20">
        <v>8.0</v>
      </c>
      <c r="S17" s="21"/>
      <c r="T17" s="21"/>
      <c r="U17" s="20">
        <v>8.0</v>
      </c>
      <c r="V17" s="20">
        <v>8.0</v>
      </c>
      <c r="W17" s="20">
        <v>8.0</v>
      </c>
      <c r="X17" s="20">
        <v>8.0</v>
      </c>
      <c r="Y17" s="20">
        <v>8.0</v>
      </c>
      <c r="Z17" s="22" t="b">
        <v>1</v>
      </c>
      <c r="AA17" s="21"/>
      <c r="AB17" s="21"/>
      <c r="AC17" s="20">
        <v>8.0</v>
      </c>
      <c r="AD17" s="20">
        <v>8.0</v>
      </c>
      <c r="AE17" s="20">
        <v>8.0</v>
      </c>
      <c r="AF17" s="20">
        <v>8.0</v>
      </c>
      <c r="AG17" s="20">
        <v>8.0</v>
      </c>
      <c r="AH17" s="22" t="b">
        <v>1</v>
      </c>
      <c r="AI17" s="21"/>
      <c r="AJ17" s="21"/>
      <c r="AK17" s="20">
        <v>8.0</v>
      </c>
      <c r="AL17" s="20">
        <v>8.0</v>
      </c>
      <c r="AM17" s="20">
        <v>8.0</v>
      </c>
      <c r="AN17" s="20">
        <v>8.0</v>
      </c>
      <c r="AO17" s="20">
        <v>8.0</v>
      </c>
      <c r="AP17" s="22" t="b">
        <v>1</v>
      </c>
      <c r="AQ17" s="21"/>
      <c r="AR17" s="21"/>
    </row>
    <row r="18" ht="22.5" customHeight="1">
      <c r="A18" s="13" t="s">
        <v>81</v>
      </c>
      <c r="B18" s="13" t="s">
        <v>82</v>
      </c>
      <c r="C18" s="13" t="s">
        <v>52</v>
      </c>
      <c r="D18" s="23" t="s">
        <v>49</v>
      </c>
      <c r="E18" s="16" t="s">
        <v>50</v>
      </c>
      <c r="F18" s="17" t="str">
        <f t="shared" si="1"/>
        <v>Nicholas</v>
      </c>
      <c r="G18" s="18">
        <f t="shared" si="2"/>
        <v>0</v>
      </c>
      <c r="H18" s="17">
        <f t="shared" si="3"/>
        <v>0</v>
      </c>
      <c r="I18" s="17"/>
      <c r="J18" s="17"/>
      <c r="K18" s="24"/>
      <c r="L18" s="24"/>
      <c r="M18" s="20">
        <v>0.0</v>
      </c>
      <c r="N18" s="20">
        <v>0.0</v>
      </c>
      <c r="O18" s="18" t="b">
        <v>1</v>
      </c>
      <c r="P18" s="20">
        <v>0.0</v>
      </c>
      <c r="Q18" s="20">
        <v>0.0</v>
      </c>
      <c r="R18" s="20">
        <v>0.0</v>
      </c>
      <c r="S18" s="21"/>
      <c r="T18" s="21"/>
      <c r="U18" s="20">
        <v>0.0</v>
      </c>
      <c r="V18" s="20">
        <v>0.0</v>
      </c>
      <c r="W18" s="20">
        <v>0.0</v>
      </c>
      <c r="X18" s="20">
        <v>0.0</v>
      </c>
      <c r="Y18" s="20">
        <v>0.0</v>
      </c>
      <c r="Z18" s="22" t="b">
        <v>1</v>
      </c>
      <c r="AA18" s="21"/>
      <c r="AB18" s="21"/>
      <c r="AC18" s="20">
        <v>0.0</v>
      </c>
      <c r="AD18" s="20">
        <v>0.0</v>
      </c>
      <c r="AE18" s="20">
        <v>0.0</v>
      </c>
      <c r="AF18" s="20">
        <v>0.0</v>
      </c>
      <c r="AG18" s="20">
        <v>0.0</v>
      </c>
      <c r="AH18" s="22" t="b">
        <v>1</v>
      </c>
      <c r="AI18" s="21"/>
      <c r="AJ18" s="21"/>
      <c r="AK18" s="20">
        <v>0.0</v>
      </c>
      <c r="AL18" s="20">
        <v>0.0</v>
      </c>
      <c r="AM18" s="20">
        <v>0.0</v>
      </c>
      <c r="AN18" s="20">
        <v>0.0</v>
      </c>
      <c r="AO18" s="20">
        <v>0.0</v>
      </c>
      <c r="AP18" s="22" t="b">
        <v>1</v>
      </c>
      <c r="AQ18" s="21"/>
      <c r="AR18" s="21"/>
    </row>
    <row r="19" ht="22.5" customHeight="1">
      <c r="A19" s="13" t="s">
        <v>83</v>
      </c>
      <c r="B19" s="13" t="s">
        <v>84</v>
      </c>
      <c r="C19" s="14" t="s">
        <v>51</v>
      </c>
      <c r="D19" s="15" t="s">
        <v>49</v>
      </c>
      <c r="E19" s="16" t="s">
        <v>57</v>
      </c>
      <c r="F19" s="17" t="str">
        <f t="shared" si="1"/>
        <v>Arabelle</v>
      </c>
      <c r="G19" s="18">
        <f t="shared" si="2"/>
        <v>140</v>
      </c>
      <c r="H19" s="17">
        <f t="shared" si="3"/>
        <v>17.5</v>
      </c>
      <c r="I19" s="17"/>
      <c r="J19" s="17"/>
      <c r="K19" s="24"/>
      <c r="L19" s="24"/>
      <c r="M19" s="20">
        <v>7.0</v>
      </c>
      <c r="N19" s="20">
        <v>7.0</v>
      </c>
      <c r="O19" s="18" t="b">
        <v>1</v>
      </c>
      <c r="P19" s="20">
        <v>7.0</v>
      </c>
      <c r="Q19" s="20">
        <v>7.0</v>
      </c>
      <c r="R19" s="20">
        <v>7.0</v>
      </c>
      <c r="S19" s="21"/>
      <c r="T19" s="21"/>
      <c r="U19" s="20">
        <v>7.0</v>
      </c>
      <c r="V19" s="20">
        <v>7.0</v>
      </c>
      <c r="W19" s="20">
        <v>7.0</v>
      </c>
      <c r="X19" s="20">
        <v>7.0</v>
      </c>
      <c r="Y19" s="20">
        <v>7.0</v>
      </c>
      <c r="Z19" s="22" t="b">
        <v>1</v>
      </c>
      <c r="AA19" s="21"/>
      <c r="AB19" s="21"/>
      <c r="AC19" s="20">
        <v>7.0</v>
      </c>
      <c r="AD19" s="20">
        <v>7.0</v>
      </c>
      <c r="AE19" s="20">
        <v>7.0</v>
      </c>
      <c r="AF19" s="20">
        <v>7.0</v>
      </c>
      <c r="AG19" s="20">
        <v>7.0</v>
      </c>
      <c r="AH19" s="22" t="b">
        <v>1</v>
      </c>
      <c r="AI19" s="21"/>
      <c r="AJ19" s="21"/>
      <c r="AK19" s="20">
        <v>7.0</v>
      </c>
      <c r="AL19" s="20">
        <v>7.0</v>
      </c>
      <c r="AM19" s="20">
        <v>7.0</v>
      </c>
      <c r="AN19" s="20">
        <v>7.0</v>
      </c>
      <c r="AO19" s="20">
        <v>7.0</v>
      </c>
      <c r="AP19" s="22" t="b">
        <v>1</v>
      </c>
      <c r="AQ19" s="21"/>
      <c r="AR19" s="21"/>
    </row>
    <row r="20" ht="22.5" customHeight="1">
      <c r="A20" s="13" t="s">
        <v>83</v>
      </c>
      <c r="B20" s="13" t="s">
        <v>84</v>
      </c>
      <c r="C20" s="13" t="s">
        <v>85</v>
      </c>
      <c r="D20" s="23" t="s">
        <v>49</v>
      </c>
      <c r="E20" s="16" t="s">
        <v>50</v>
      </c>
      <c r="F20" s="17" t="str">
        <f t="shared" si="1"/>
        <v>Arabelle</v>
      </c>
      <c r="G20" s="18">
        <f t="shared" si="2"/>
        <v>20</v>
      </c>
      <c r="H20" s="17">
        <f t="shared" si="3"/>
        <v>2.5</v>
      </c>
      <c r="I20" s="17"/>
      <c r="J20" s="17"/>
      <c r="K20" s="24"/>
      <c r="L20" s="24"/>
      <c r="M20" s="20">
        <v>1.0</v>
      </c>
      <c r="N20" s="20">
        <v>1.0</v>
      </c>
      <c r="O20" s="18" t="b">
        <v>1</v>
      </c>
      <c r="P20" s="20">
        <v>1.0</v>
      </c>
      <c r="Q20" s="20">
        <v>1.0</v>
      </c>
      <c r="R20" s="20">
        <v>1.0</v>
      </c>
      <c r="S20" s="21"/>
      <c r="T20" s="21"/>
      <c r="U20" s="20">
        <v>1.0</v>
      </c>
      <c r="V20" s="20">
        <v>1.0</v>
      </c>
      <c r="W20" s="20">
        <v>1.0</v>
      </c>
      <c r="X20" s="20">
        <v>1.0</v>
      </c>
      <c r="Y20" s="20">
        <v>1.0</v>
      </c>
      <c r="Z20" s="22" t="b">
        <v>1</v>
      </c>
      <c r="AA20" s="21"/>
      <c r="AB20" s="21"/>
      <c r="AC20" s="20">
        <v>1.0</v>
      </c>
      <c r="AD20" s="20">
        <v>1.0</v>
      </c>
      <c r="AE20" s="20">
        <v>1.0</v>
      </c>
      <c r="AF20" s="20">
        <v>1.0</v>
      </c>
      <c r="AG20" s="20">
        <v>1.0</v>
      </c>
      <c r="AH20" s="22" t="b">
        <v>1</v>
      </c>
      <c r="AI20" s="21"/>
      <c r="AJ20" s="21"/>
      <c r="AK20" s="20">
        <v>1.0</v>
      </c>
      <c r="AL20" s="20">
        <v>1.0</v>
      </c>
      <c r="AM20" s="20">
        <v>1.0</v>
      </c>
      <c r="AN20" s="20">
        <v>1.0</v>
      </c>
      <c r="AO20" s="20">
        <v>1.0</v>
      </c>
      <c r="AP20" s="22" t="b">
        <v>1</v>
      </c>
      <c r="AQ20" s="21"/>
      <c r="AR20" s="21"/>
    </row>
    <row r="21" ht="22.5" customHeight="1">
      <c r="A21" s="25" t="s">
        <v>86</v>
      </c>
      <c r="B21" s="25" t="s">
        <v>87</v>
      </c>
      <c r="C21" s="26" t="s">
        <v>52</v>
      </c>
      <c r="D21" s="15" t="s">
        <v>56</v>
      </c>
      <c r="E21" s="16" t="s">
        <v>50</v>
      </c>
      <c r="F21" s="17" t="str">
        <f t="shared" si="1"/>
        <v>Nicholas</v>
      </c>
      <c r="G21" s="18">
        <f t="shared" si="2"/>
        <v>160</v>
      </c>
      <c r="H21" s="17">
        <f t="shared" si="3"/>
        <v>20</v>
      </c>
      <c r="I21" s="17"/>
      <c r="J21" s="17"/>
      <c r="K21" s="24"/>
      <c r="L21" s="24"/>
      <c r="M21" s="20">
        <f t="shared" ref="M21:N21" si="54">IF($D21="Full Time",8,"")</f>
        <v>8</v>
      </c>
      <c r="N21" s="20">
        <f t="shared" si="54"/>
        <v>8</v>
      </c>
      <c r="O21" s="18" t="b">
        <v>1</v>
      </c>
      <c r="P21" s="20">
        <f t="shared" ref="P21:R21" si="55">IF($D21="Full Time",8,"")</f>
        <v>8</v>
      </c>
      <c r="Q21" s="20">
        <f t="shared" si="55"/>
        <v>8</v>
      </c>
      <c r="R21" s="20">
        <f t="shared" si="55"/>
        <v>8</v>
      </c>
      <c r="S21" s="21"/>
      <c r="T21" s="21"/>
      <c r="U21" s="20">
        <f t="shared" ref="U21:Y21" si="56">IF($D21="Full Time",8,"")</f>
        <v>8</v>
      </c>
      <c r="V21" s="20">
        <f t="shared" si="56"/>
        <v>8</v>
      </c>
      <c r="W21" s="20">
        <f t="shared" si="56"/>
        <v>8</v>
      </c>
      <c r="X21" s="20">
        <f t="shared" si="56"/>
        <v>8</v>
      </c>
      <c r="Y21" s="20">
        <f t="shared" si="56"/>
        <v>8</v>
      </c>
      <c r="Z21" s="22" t="b">
        <v>1</v>
      </c>
      <c r="AA21" s="21"/>
      <c r="AB21" s="21"/>
      <c r="AC21" s="20">
        <f t="shared" ref="AC21:AG21" si="57">IF($D21="Full Time",8,"")</f>
        <v>8</v>
      </c>
      <c r="AD21" s="20">
        <f t="shared" si="57"/>
        <v>8</v>
      </c>
      <c r="AE21" s="20">
        <f t="shared" si="57"/>
        <v>8</v>
      </c>
      <c r="AF21" s="20">
        <f t="shared" si="57"/>
        <v>8</v>
      </c>
      <c r="AG21" s="20">
        <f t="shared" si="57"/>
        <v>8</v>
      </c>
      <c r="AH21" s="22" t="b">
        <v>1</v>
      </c>
      <c r="AI21" s="21"/>
      <c r="AJ21" s="21"/>
      <c r="AK21" s="20">
        <f t="shared" ref="AK21:AO21" si="58">IF($D21="Full Time",8,"")</f>
        <v>8</v>
      </c>
      <c r="AL21" s="20">
        <f t="shared" si="58"/>
        <v>8</v>
      </c>
      <c r="AM21" s="20">
        <f t="shared" si="58"/>
        <v>8</v>
      </c>
      <c r="AN21" s="20">
        <f t="shared" si="58"/>
        <v>8</v>
      </c>
      <c r="AO21" s="20">
        <f t="shared" si="58"/>
        <v>8</v>
      </c>
      <c r="AP21" s="22" t="b">
        <v>1</v>
      </c>
      <c r="AQ21" s="21"/>
      <c r="AR21" s="21"/>
    </row>
    <row r="22" ht="22.5" customHeight="1">
      <c r="A22" s="25" t="s">
        <v>88</v>
      </c>
      <c r="B22" s="25" t="s">
        <v>89</v>
      </c>
      <c r="C22" s="26" t="s">
        <v>55</v>
      </c>
      <c r="D22" s="15" t="s">
        <v>56</v>
      </c>
      <c r="E22" s="16" t="s">
        <v>57</v>
      </c>
      <c r="F22" s="17" t="str">
        <f t="shared" si="1"/>
        <v>Kathy</v>
      </c>
      <c r="G22" s="18">
        <f t="shared" si="2"/>
        <v>160</v>
      </c>
      <c r="H22" s="17">
        <f t="shared" si="3"/>
        <v>20</v>
      </c>
      <c r="I22" s="17"/>
      <c r="J22" s="17"/>
      <c r="K22" s="24"/>
      <c r="L22" s="24"/>
      <c r="M22" s="20">
        <f t="shared" ref="M22:N22" si="59">IF($D22="Full Time",8,"")</f>
        <v>8</v>
      </c>
      <c r="N22" s="20">
        <f t="shared" si="59"/>
        <v>8</v>
      </c>
      <c r="O22" s="18" t="b">
        <v>1</v>
      </c>
      <c r="P22" s="20">
        <f t="shared" ref="P22:R22" si="60">IF($D22="Full Time",8,"")</f>
        <v>8</v>
      </c>
      <c r="Q22" s="20">
        <f t="shared" si="60"/>
        <v>8</v>
      </c>
      <c r="R22" s="20">
        <f t="shared" si="60"/>
        <v>8</v>
      </c>
      <c r="S22" s="21"/>
      <c r="T22" s="21"/>
      <c r="U22" s="20">
        <f t="shared" ref="U22:Y22" si="61">IF($D22="Full Time",8,"")</f>
        <v>8</v>
      </c>
      <c r="V22" s="20">
        <f t="shared" si="61"/>
        <v>8</v>
      </c>
      <c r="W22" s="20">
        <f t="shared" si="61"/>
        <v>8</v>
      </c>
      <c r="X22" s="20">
        <f t="shared" si="61"/>
        <v>8</v>
      </c>
      <c r="Y22" s="20">
        <f t="shared" si="61"/>
        <v>8</v>
      </c>
      <c r="Z22" s="22" t="b">
        <v>1</v>
      </c>
      <c r="AA22" s="21"/>
      <c r="AB22" s="21"/>
      <c r="AC22" s="20">
        <f t="shared" ref="AC22:AG22" si="62">IF($D22="Full Time",8,"")</f>
        <v>8</v>
      </c>
      <c r="AD22" s="20">
        <f t="shared" si="62"/>
        <v>8</v>
      </c>
      <c r="AE22" s="20">
        <f t="shared" si="62"/>
        <v>8</v>
      </c>
      <c r="AF22" s="20">
        <f t="shared" si="62"/>
        <v>8</v>
      </c>
      <c r="AG22" s="20">
        <f t="shared" si="62"/>
        <v>8</v>
      </c>
      <c r="AH22" s="22" t="b">
        <v>1</v>
      </c>
      <c r="AI22" s="21"/>
      <c r="AJ22" s="21"/>
      <c r="AK22" s="20">
        <f t="shared" ref="AK22:AO22" si="63">IF($D22="Full Time",8,"")</f>
        <v>8</v>
      </c>
      <c r="AL22" s="20">
        <f t="shared" si="63"/>
        <v>8</v>
      </c>
      <c r="AM22" s="20">
        <f t="shared" si="63"/>
        <v>8</v>
      </c>
      <c r="AN22" s="20">
        <f t="shared" si="63"/>
        <v>8</v>
      </c>
      <c r="AO22" s="20">
        <f t="shared" si="63"/>
        <v>8</v>
      </c>
      <c r="AP22" s="22" t="b">
        <v>1</v>
      </c>
      <c r="AQ22" s="21"/>
      <c r="AR22" s="21"/>
    </row>
    <row r="23" ht="22.5" customHeight="1">
      <c r="A23" s="25" t="s">
        <v>90</v>
      </c>
      <c r="B23" s="25" t="s">
        <v>91</v>
      </c>
      <c r="C23" s="26" t="s">
        <v>60</v>
      </c>
      <c r="D23" s="15" t="s">
        <v>56</v>
      </c>
      <c r="E23" s="16" t="s">
        <v>57</v>
      </c>
      <c r="F23" s="17" t="str">
        <f t="shared" si="1"/>
        <v>Nicholas</v>
      </c>
      <c r="G23" s="18">
        <f t="shared" si="2"/>
        <v>160</v>
      </c>
      <c r="H23" s="17">
        <f t="shared" si="3"/>
        <v>20</v>
      </c>
      <c r="I23" s="17"/>
      <c r="J23" s="17"/>
      <c r="K23" s="24"/>
      <c r="L23" s="24"/>
      <c r="M23" s="20">
        <f t="shared" ref="M23:N23" si="64">IF($D23="Full Time",8,"")</f>
        <v>8</v>
      </c>
      <c r="N23" s="20">
        <f t="shared" si="64"/>
        <v>8</v>
      </c>
      <c r="O23" s="18" t="b">
        <v>1</v>
      </c>
      <c r="P23" s="20">
        <f t="shared" ref="P23:R23" si="65">IF($D23="Full Time",8,"")</f>
        <v>8</v>
      </c>
      <c r="Q23" s="20">
        <f t="shared" si="65"/>
        <v>8</v>
      </c>
      <c r="R23" s="20">
        <f t="shared" si="65"/>
        <v>8</v>
      </c>
      <c r="S23" s="21"/>
      <c r="T23" s="21"/>
      <c r="U23" s="20">
        <f t="shared" ref="U23:Y23" si="66">IF($D23="Full Time",8,"")</f>
        <v>8</v>
      </c>
      <c r="V23" s="20">
        <f t="shared" si="66"/>
        <v>8</v>
      </c>
      <c r="W23" s="20">
        <f t="shared" si="66"/>
        <v>8</v>
      </c>
      <c r="X23" s="20">
        <f t="shared" si="66"/>
        <v>8</v>
      </c>
      <c r="Y23" s="20">
        <f t="shared" si="66"/>
        <v>8</v>
      </c>
      <c r="Z23" s="22" t="b">
        <v>1</v>
      </c>
      <c r="AA23" s="21"/>
      <c r="AB23" s="21"/>
      <c r="AC23" s="20">
        <f t="shared" ref="AC23:AG23" si="67">IF($D23="Full Time",8,"")</f>
        <v>8</v>
      </c>
      <c r="AD23" s="20">
        <f t="shared" si="67"/>
        <v>8</v>
      </c>
      <c r="AE23" s="20">
        <f t="shared" si="67"/>
        <v>8</v>
      </c>
      <c r="AF23" s="20">
        <f t="shared" si="67"/>
        <v>8</v>
      </c>
      <c r="AG23" s="20">
        <f t="shared" si="67"/>
        <v>8</v>
      </c>
      <c r="AH23" s="22" t="b">
        <v>1</v>
      </c>
      <c r="AI23" s="21"/>
      <c r="AJ23" s="21"/>
      <c r="AK23" s="20">
        <f t="shared" ref="AK23:AO23" si="68">IF($D23="Full Time",8,"")</f>
        <v>8</v>
      </c>
      <c r="AL23" s="20">
        <f t="shared" si="68"/>
        <v>8</v>
      </c>
      <c r="AM23" s="20">
        <f t="shared" si="68"/>
        <v>8</v>
      </c>
      <c r="AN23" s="20">
        <f t="shared" si="68"/>
        <v>8</v>
      </c>
      <c r="AO23" s="20">
        <f t="shared" si="68"/>
        <v>8</v>
      </c>
      <c r="AP23" s="22" t="b">
        <v>1</v>
      </c>
      <c r="AQ23" s="21"/>
      <c r="AR23" s="21"/>
    </row>
    <row r="24" ht="22.5" customHeight="1">
      <c r="A24" s="25" t="s">
        <v>92</v>
      </c>
      <c r="B24" s="25" t="s">
        <v>93</v>
      </c>
      <c r="C24" s="26" t="s">
        <v>94</v>
      </c>
      <c r="D24" s="15" t="s">
        <v>56</v>
      </c>
      <c r="E24" s="16" t="s">
        <v>57</v>
      </c>
      <c r="F24" s="17" t="str">
        <f t="shared" si="1"/>
        <v>Nicholas</v>
      </c>
      <c r="G24" s="18">
        <f t="shared" si="2"/>
        <v>160</v>
      </c>
      <c r="H24" s="17">
        <f t="shared" si="3"/>
        <v>20</v>
      </c>
      <c r="I24" s="17"/>
      <c r="J24" s="17"/>
      <c r="K24" s="24"/>
      <c r="L24" s="24"/>
      <c r="M24" s="20">
        <f t="shared" ref="M24:N24" si="69">IF($D24="Full Time",8,"")</f>
        <v>8</v>
      </c>
      <c r="N24" s="20">
        <f t="shared" si="69"/>
        <v>8</v>
      </c>
      <c r="O24" s="18" t="b">
        <v>1</v>
      </c>
      <c r="P24" s="20">
        <f t="shared" ref="P24:R24" si="70">IF($D24="Full Time",8,"")</f>
        <v>8</v>
      </c>
      <c r="Q24" s="20">
        <f t="shared" si="70"/>
        <v>8</v>
      </c>
      <c r="R24" s="20">
        <f t="shared" si="70"/>
        <v>8</v>
      </c>
      <c r="S24" s="21"/>
      <c r="T24" s="21"/>
      <c r="U24" s="20">
        <f t="shared" ref="U24:Y24" si="71">IF($D24="Full Time",8,"")</f>
        <v>8</v>
      </c>
      <c r="V24" s="20">
        <f t="shared" si="71"/>
        <v>8</v>
      </c>
      <c r="W24" s="20">
        <f t="shared" si="71"/>
        <v>8</v>
      </c>
      <c r="X24" s="20">
        <f t="shared" si="71"/>
        <v>8</v>
      </c>
      <c r="Y24" s="20">
        <f t="shared" si="71"/>
        <v>8</v>
      </c>
      <c r="Z24" s="22" t="b">
        <v>1</v>
      </c>
      <c r="AA24" s="21"/>
      <c r="AB24" s="21"/>
      <c r="AC24" s="20">
        <f t="shared" ref="AC24:AG24" si="72">IF($D24="Full Time",8,"")</f>
        <v>8</v>
      </c>
      <c r="AD24" s="20">
        <f t="shared" si="72"/>
        <v>8</v>
      </c>
      <c r="AE24" s="20">
        <f t="shared" si="72"/>
        <v>8</v>
      </c>
      <c r="AF24" s="20">
        <f t="shared" si="72"/>
        <v>8</v>
      </c>
      <c r="AG24" s="20">
        <f t="shared" si="72"/>
        <v>8</v>
      </c>
      <c r="AH24" s="22" t="b">
        <v>1</v>
      </c>
      <c r="AI24" s="21"/>
      <c r="AJ24" s="21"/>
      <c r="AK24" s="20">
        <f t="shared" ref="AK24:AO24" si="73">IF($D24="Full Time",8,"")</f>
        <v>8</v>
      </c>
      <c r="AL24" s="20">
        <f t="shared" si="73"/>
        <v>8</v>
      </c>
      <c r="AM24" s="20">
        <f t="shared" si="73"/>
        <v>8</v>
      </c>
      <c r="AN24" s="20">
        <f t="shared" si="73"/>
        <v>8</v>
      </c>
      <c r="AO24" s="20">
        <f t="shared" si="73"/>
        <v>8</v>
      </c>
      <c r="AP24" s="22" t="b">
        <v>1</v>
      </c>
      <c r="AQ24" s="21"/>
      <c r="AR24" s="21"/>
    </row>
    <row r="25" ht="22.5" customHeight="1">
      <c r="A25" s="25" t="s">
        <v>95</v>
      </c>
      <c r="B25" s="25" t="s">
        <v>96</v>
      </c>
      <c r="C25" s="26" t="s">
        <v>63</v>
      </c>
      <c r="D25" s="15" t="s">
        <v>56</v>
      </c>
      <c r="E25" s="16" t="s">
        <v>57</v>
      </c>
      <c r="F25" s="17" t="str">
        <f t="shared" si="1"/>
        <v>Ean</v>
      </c>
      <c r="G25" s="18">
        <f t="shared" si="2"/>
        <v>160</v>
      </c>
      <c r="H25" s="17">
        <f t="shared" si="3"/>
        <v>20</v>
      </c>
      <c r="I25" s="17"/>
      <c r="J25" s="17"/>
      <c r="K25" s="24"/>
      <c r="L25" s="24"/>
      <c r="M25" s="20">
        <f t="shared" ref="M25:N25" si="74">IF($D25="Full Time",8,"")</f>
        <v>8</v>
      </c>
      <c r="N25" s="20">
        <f t="shared" si="74"/>
        <v>8</v>
      </c>
      <c r="O25" s="18" t="b">
        <v>1</v>
      </c>
      <c r="P25" s="20">
        <f t="shared" ref="P25:R25" si="75">IF($D25="Full Time",8,"")</f>
        <v>8</v>
      </c>
      <c r="Q25" s="20">
        <f t="shared" si="75"/>
        <v>8</v>
      </c>
      <c r="R25" s="20">
        <f t="shared" si="75"/>
        <v>8</v>
      </c>
      <c r="S25" s="21"/>
      <c r="T25" s="21"/>
      <c r="U25" s="20">
        <f t="shared" ref="U25:Y25" si="76">IF($D25="Full Time",8,"")</f>
        <v>8</v>
      </c>
      <c r="V25" s="20">
        <f t="shared" si="76"/>
        <v>8</v>
      </c>
      <c r="W25" s="20">
        <f t="shared" si="76"/>
        <v>8</v>
      </c>
      <c r="X25" s="20">
        <f t="shared" si="76"/>
        <v>8</v>
      </c>
      <c r="Y25" s="20">
        <f t="shared" si="76"/>
        <v>8</v>
      </c>
      <c r="Z25" s="22" t="b">
        <v>1</v>
      </c>
      <c r="AA25" s="21"/>
      <c r="AB25" s="21"/>
      <c r="AC25" s="20">
        <f t="shared" ref="AC25:AG25" si="77">IF($D25="Full Time",8,"")</f>
        <v>8</v>
      </c>
      <c r="AD25" s="20">
        <f t="shared" si="77"/>
        <v>8</v>
      </c>
      <c r="AE25" s="20">
        <f t="shared" si="77"/>
        <v>8</v>
      </c>
      <c r="AF25" s="20">
        <f t="shared" si="77"/>
        <v>8</v>
      </c>
      <c r="AG25" s="20">
        <f t="shared" si="77"/>
        <v>8</v>
      </c>
      <c r="AH25" s="22" t="b">
        <v>1</v>
      </c>
      <c r="AI25" s="21"/>
      <c r="AJ25" s="21"/>
      <c r="AK25" s="20">
        <f t="shared" ref="AK25:AO25" si="78">IF($D25="Full Time",8,"")</f>
        <v>8</v>
      </c>
      <c r="AL25" s="20">
        <f t="shared" si="78"/>
        <v>8</v>
      </c>
      <c r="AM25" s="20">
        <f t="shared" si="78"/>
        <v>8</v>
      </c>
      <c r="AN25" s="20">
        <f t="shared" si="78"/>
        <v>8</v>
      </c>
      <c r="AO25" s="20">
        <f t="shared" si="78"/>
        <v>8</v>
      </c>
      <c r="AP25" s="22" t="b">
        <v>1</v>
      </c>
      <c r="AQ25" s="21"/>
      <c r="AR25" s="21"/>
    </row>
    <row r="26" ht="22.5" customHeight="1">
      <c r="A26" s="25" t="s">
        <v>97</v>
      </c>
      <c r="B26" s="25" t="s">
        <v>98</v>
      </c>
      <c r="C26" s="26" t="s">
        <v>52</v>
      </c>
      <c r="D26" s="15" t="s">
        <v>56</v>
      </c>
      <c r="E26" s="16" t="s">
        <v>50</v>
      </c>
      <c r="F26" s="17" t="str">
        <f t="shared" si="1"/>
        <v>Nicholas</v>
      </c>
      <c r="G26" s="18">
        <f t="shared" si="2"/>
        <v>160</v>
      </c>
      <c r="H26" s="17">
        <f t="shared" si="3"/>
        <v>20</v>
      </c>
      <c r="I26" s="17"/>
      <c r="J26" s="17"/>
      <c r="K26" s="24"/>
      <c r="L26" s="24"/>
      <c r="M26" s="20">
        <f t="shared" ref="M26:N26" si="79">IF($D26="Full Time",8,"")</f>
        <v>8</v>
      </c>
      <c r="N26" s="20">
        <f t="shared" si="79"/>
        <v>8</v>
      </c>
      <c r="O26" s="18" t="b">
        <v>1</v>
      </c>
      <c r="P26" s="20">
        <f t="shared" ref="P26:R26" si="80">IF($D26="Full Time",8,"")</f>
        <v>8</v>
      </c>
      <c r="Q26" s="20">
        <f t="shared" si="80"/>
        <v>8</v>
      </c>
      <c r="R26" s="20">
        <f t="shared" si="80"/>
        <v>8</v>
      </c>
      <c r="S26" s="21"/>
      <c r="T26" s="21"/>
      <c r="U26" s="20">
        <f t="shared" ref="U26:Y26" si="81">IF($D26="Full Time",8,"")</f>
        <v>8</v>
      </c>
      <c r="V26" s="20">
        <f t="shared" si="81"/>
        <v>8</v>
      </c>
      <c r="W26" s="20">
        <f t="shared" si="81"/>
        <v>8</v>
      </c>
      <c r="X26" s="20">
        <f t="shared" si="81"/>
        <v>8</v>
      </c>
      <c r="Y26" s="20">
        <f t="shared" si="81"/>
        <v>8</v>
      </c>
      <c r="Z26" s="22" t="b">
        <v>1</v>
      </c>
      <c r="AA26" s="21"/>
      <c r="AB26" s="21"/>
      <c r="AC26" s="20">
        <f t="shared" ref="AC26:AG26" si="82">IF($D26="Full Time",8,"")</f>
        <v>8</v>
      </c>
      <c r="AD26" s="20">
        <f t="shared" si="82"/>
        <v>8</v>
      </c>
      <c r="AE26" s="20">
        <f t="shared" si="82"/>
        <v>8</v>
      </c>
      <c r="AF26" s="20">
        <f t="shared" si="82"/>
        <v>8</v>
      </c>
      <c r="AG26" s="20">
        <f t="shared" si="82"/>
        <v>8</v>
      </c>
      <c r="AH26" s="22" t="b">
        <v>1</v>
      </c>
      <c r="AI26" s="21"/>
      <c r="AJ26" s="21"/>
      <c r="AK26" s="20">
        <f t="shared" ref="AK26:AO26" si="83">IF($D26="Full Time",8,"")</f>
        <v>8</v>
      </c>
      <c r="AL26" s="20">
        <f t="shared" si="83"/>
        <v>8</v>
      </c>
      <c r="AM26" s="20">
        <f t="shared" si="83"/>
        <v>8</v>
      </c>
      <c r="AN26" s="20">
        <f t="shared" si="83"/>
        <v>8</v>
      </c>
      <c r="AO26" s="20">
        <f t="shared" si="83"/>
        <v>8</v>
      </c>
      <c r="AP26" s="22" t="b">
        <v>1</v>
      </c>
      <c r="AQ26" s="21"/>
      <c r="AR26" s="21"/>
    </row>
    <row r="27" ht="22.5" customHeight="1">
      <c r="A27" s="25" t="s">
        <v>99</v>
      </c>
      <c r="B27" s="25" t="s">
        <v>100</v>
      </c>
      <c r="C27" s="26" t="s">
        <v>55</v>
      </c>
      <c r="D27" s="15" t="s">
        <v>56</v>
      </c>
      <c r="E27" s="16" t="s">
        <v>57</v>
      </c>
      <c r="F27" s="17" t="str">
        <f t="shared" si="1"/>
        <v>Kathy</v>
      </c>
      <c r="G27" s="18">
        <f t="shared" si="2"/>
        <v>160</v>
      </c>
      <c r="H27" s="17">
        <f t="shared" si="3"/>
        <v>20</v>
      </c>
      <c r="I27" s="17"/>
      <c r="J27" s="17"/>
      <c r="K27" s="24"/>
      <c r="L27" s="24"/>
      <c r="M27" s="20">
        <f t="shared" ref="M27:N27" si="84">IF($D27="Full Time",8,"")</f>
        <v>8</v>
      </c>
      <c r="N27" s="20">
        <f t="shared" si="84"/>
        <v>8</v>
      </c>
      <c r="O27" s="18" t="b">
        <v>1</v>
      </c>
      <c r="P27" s="20">
        <f t="shared" ref="P27:R27" si="85">IF($D27="Full Time",8,"")</f>
        <v>8</v>
      </c>
      <c r="Q27" s="20">
        <f t="shared" si="85"/>
        <v>8</v>
      </c>
      <c r="R27" s="20">
        <f t="shared" si="85"/>
        <v>8</v>
      </c>
      <c r="S27" s="21"/>
      <c r="T27" s="21"/>
      <c r="U27" s="20">
        <f t="shared" ref="U27:Y27" si="86">IF($D27="Full Time",8,"")</f>
        <v>8</v>
      </c>
      <c r="V27" s="20">
        <f t="shared" si="86"/>
        <v>8</v>
      </c>
      <c r="W27" s="20">
        <f t="shared" si="86"/>
        <v>8</v>
      </c>
      <c r="X27" s="20">
        <f t="shared" si="86"/>
        <v>8</v>
      </c>
      <c r="Y27" s="20">
        <f t="shared" si="86"/>
        <v>8</v>
      </c>
      <c r="Z27" s="22" t="b">
        <v>1</v>
      </c>
      <c r="AA27" s="21"/>
      <c r="AB27" s="21"/>
      <c r="AC27" s="20">
        <f t="shared" ref="AC27:AG27" si="87">IF($D27="Full Time",8,"")</f>
        <v>8</v>
      </c>
      <c r="AD27" s="20">
        <f t="shared" si="87"/>
        <v>8</v>
      </c>
      <c r="AE27" s="20">
        <f t="shared" si="87"/>
        <v>8</v>
      </c>
      <c r="AF27" s="20">
        <f t="shared" si="87"/>
        <v>8</v>
      </c>
      <c r="AG27" s="20">
        <f t="shared" si="87"/>
        <v>8</v>
      </c>
      <c r="AH27" s="22" t="b">
        <v>1</v>
      </c>
      <c r="AI27" s="21"/>
      <c r="AJ27" s="21"/>
      <c r="AK27" s="20">
        <f t="shared" ref="AK27:AO27" si="88">IF($D27="Full Time",8,"")</f>
        <v>8</v>
      </c>
      <c r="AL27" s="20">
        <f t="shared" si="88"/>
        <v>8</v>
      </c>
      <c r="AM27" s="20">
        <f t="shared" si="88"/>
        <v>8</v>
      </c>
      <c r="AN27" s="20">
        <f t="shared" si="88"/>
        <v>8</v>
      </c>
      <c r="AO27" s="20">
        <f t="shared" si="88"/>
        <v>8</v>
      </c>
      <c r="AP27" s="22" t="b">
        <v>1</v>
      </c>
      <c r="AQ27" s="21"/>
      <c r="AR27" s="21"/>
    </row>
    <row r="28" ht="22.5" customHeight="1">
      <c r="A28" s="25" t="s">
        <v>101</v>
      </c>
      <c r="B28" s="25" t="s">
        <v>102</v>
      </c>
      <c r="C28" s="26" t="s">
        <v>60</v>
      </c>
      <c r="D28" s="15" t="s">
        <v>56</v>
      </c>
      <c r="E28" s="16" t="s">
        <v>57</v>
      </c>
      <c r="F28" s="17" t="str">
        <f t="shared" si="1"/>
        <v>Nicholas</v>
      </c>
      <c r="G28" s="18">
        <f t="shared" si="2"/>
        <v>160</v>
      </c>
      <c r="H28" s="17">
        <f t="shared" si="3"/>
        <v>20</v>
      </c>
      <c r="I28" s="17"/>
      <c r="J28" s="17"/>
      <c r="K28" s="24"/>
      <c r="L28" s="24"/>
      <c r="M28" s="20">
        <f t="shared" ref="M28:N28" si="89">IF($D28="Full Time",8,"")</f>
        <v>8</v>
      </c>
      <c r="N28" s="20">
        <f t="shared" si="89"/>
        <v>8</v>
      </c>
      <c r="O28" s="18" t="b">
        <v>1</v>
      </c>
      <c r="P28" s="20">
        <f t="shared" ref="P28:R28" si="90">IF($D28="Full Time",8,"")</f>
        <v>8</v>
      </c>
      <c r="Q28" s="20">
        <f t="shared" si="90"/>
        <v>8</v>
      </c>
      <c r="R28" s="20">
        <f t="shared" si="90"/>
        <v>8</v>
      </c>
      <c r="S28" s="21"/>
      <c r="T28" s="21"/>
      <c r="U28" s="20">
        <f t="shared" ref="U28:Y28" si="91">IF($D28="Full Time",8,"")</f>
        <v>8</v>
      </c>
      <c r="V28" s="20">
        <f t="shared" si="91"/>
        <v>8</v>
      </c>
      <c r="W28" s="20">
        <f t="shared" si="91"/>
        <v>8</v>
      </c>
      <c r="X28" s="20">
        <f t="shared" si="91"/>
        <v>8</v>
      </c>
      <c r="Y28" s="20">
        <f t="shared" si="91"/>
        <v>8</v>
      </c>
      <c r="Z28" s="22" t="b">
        <v>1</v>
      </c>
      <c r="AA28" s="21"/>
      <c r="AB28" s="21"/>
      <c r="AC28" s="20">
        <f t="shared" ref="AC28:AG28" si="92">IF($D28="Full Time",8,"")</f>
        <v>8</v>
      </c>
      <c r="AD28" s="20">
        <f t="shared" si="92"/>
        <v>8</v>
      </c>
      <c r="AE28" s="20">
        <f t="shared" si="92"/>
        <v>8</v>
      </c>
      <c r="AF28" s="20">
        <f t="shared" si="92"/>
        <v>8</v>
      </c>
      <c r="AG28" s="20">
        <f t="shared" si="92"/>
        <v>8</v>
      </c>
      <c r="AH28" s="22" t="b">
        <v>1</v>
      </c>
      <c r="AI28" s="21"/>
      <c r="AJ28" s="21"/>
      <c r="AK28" s="20">
        <f t="shared" ref="AK28:AO28" si="93">IF($D28="Full Time",8,"")</f>
        <v>8</v>
      </c>
      <c r="AL28" s="20">
        <f t="shared" si="93"/>
        <v>8</v>
      </c>
      <c r="AM28" s="20">
        <f t="shared" si="93"/>
        <v>8</v>
      </c>
      <c r="AN28" s="20">
        <f t="shared" si="93"/>
        <v>8</v>
      </c>
      <c r="AO28" s="20">
        <f t="shared" si="93"/>
        <v>8</v>
      </c>
      <c r="AP28" s="22" t="b">
        <v>1</v>
      </c>
      <c r="AQ28" s="21"/>
      <c r="AR28" s="21"/>
    </row>
    <row r="29" ht="22.5" customHeight="1">
      <c r="A29" s="25" t="s">
        <v>103</v>
      </c>
      <c r="B29" s="25" t="s">
        <v>104</v>
      </c>
      <c r="C29" s="26" t="s">
        <v>55</v>
      </c>
      <c r="D29" s="15" t="s">
        <v>56</v>
      </c>
      <c r="E29" s="16" t="s">
        <v>57</v>
      </c>
      <c r="F29" s="17" t="str">
        <f t="shared" si="1"/>
        <v>Kathy</v>
      </c>
      <c r="G29" s="18">
        <f t="shared" si="2"/>
        <v>160</v>
      </c>
      <c r="H29" s="17">
        <f t="shared" si="3"/>
        <v>20</v>
      </c>
      <c r="I29" s="17"/>
      <c r="J29" s="17"/>
      <c r="K29" s="24"/>
      <c r="L29" s="24"/>
      <c r="M29" s="20">
        <f t="shared" ref="M29:N29" si="94">IF($D29="Full Time",8,"")</f>
        <v>8</v>
      </c>
      <c r="N29" s="20">
        <f t="shared" si="94"/>
        <v>8</v>
      </c>
      <c r="O29" s="18" t="b">
        <v>1</v>
      </c>
      <c r="P29" s="20">
        <f t="shared" ref="P29:R29" si="95">IF($D29="Full Time",8,"")</f>
        <v>8</v>
      </c>
      <c r="Q29" s="20">
        <f t="shared" si="95"/>
        <v>8</v>
      </c>
      <c r="R29" s="20">
        <f t="shared" si="95"/>
        <v>8</v>
      </c>
      <c r="S29" s="21"/>
      <c r="T29" s="21"/>
      <c r="U29" s="20">
        <f t="shared" ref="U29:Y29" si="96">IF($D29="Full Time",8,"")</f>
        <v>8</v>
      </c>
      <c r="V29" s="20">
        <f t="shared" si="96"/>
        <v>8</v>
      </c>
      <c r="W29" s="20">
        <f t="shared" si="96"/>
        <v>8</v>
      </c>
      <c r="X29" s="20">
        <f t="shared" si="96"/>
        <v>8</v>
      </c>
      <c r="Y29" s="20">
        <f t="shared" si="96"/>
        <v>8</v>
      </c>
      <c r="Z29" s="22" t="b">
        <v>1</v>
      </c>
      <c r="AA29" s="21"/>
      <c r="AB29" s="21"/>
      <c r="AC29" s="20">
        <f t="shared" ref="AC29:AG29" si="97">IF($D29="Full Time",8,"")</f>
        <v>8</v>
      </c>
      <c r="AD29" s="20">
        <f t="shared" si="97"/>
        <v>8</v>
      </c>
      <c r="AE29" s="20">
        <f t="shared" si="97"/>
        <v>8</v>
      </c>
      <c r="AF29" s="20">
        <f t="shared" si="97"/>
        <v>8</v>
      </c>
      <c r="AG29" s="20">
        <f t="shared" si="97"/>
        <v>8</v>
      </c>
      <c r="AH29" s="22" t="b">
        <v>1</v>
      </c>
      <c r="AI29" s="21"/>
      <c r="AJ29" s="21"/>
      <c r="AK29" s="20">
        <f t="shared" ref="AK29:AO29" si="98">IF($D29="Full Time",8,"")</f>
        <v>8</v>
      </c>
      <c r="AL29" s="20">
        <f t="shared" si="98"/>
        <v>8</v>
      </c>
      <c r="AM29" s="20">
        <f t="shared" si="98"/>
        <v>8</v>
      </c>
      <c r="AN29" s="20">
        <f t="shared" si="98"/>
        <v>8</v>
      </c>
      <c r="AO29" s="20">
        <f t="shared" si="98"/>
        <v>8</v>
      </c>
      <c r="AP29" s="22" t="b">
        <v>1</v>
      </c>
      <c r="AQ29" s="21"/>
      <c r="AR29" s="21"/>
    </row>
    <row r="30" ht="22.5" customHeight="1">
      <c r="A30" s="25" t="s">
        <v>105</v>
      </c>
      <c r="B30" s="25" t="s">
        <v>106</v>
      </c>
      <c r="C30" s="26" t="s">
        <v>63</v>
      </c>
      <c r="D30" s="15" t="s">
        <v>56</v>
      </c>
      <c r="E30" s="16" t="s">
        <v>57</v>
      </c>
      <c r="F30" s="17" t="str">
        <f t="shared" si="1"/>
        <v>Ean</v>
      </c>
      <c r="G30" s="18">
        <f t="shared" si="2"/>
        <v>160</v>
      </c>
      <c r="H30" s="17">
        <f t="shared" si="3"/>
        <v>20</v>
      </c>
      <c r="I30" s="17"/>
      <c r="J30" s="17"/>
      <c r="K30" s="24"/>
      <c r="L30" s="24"/>
      <c r="M30" s="20">
        <f t="shared" ref="M30:N30" si="99">IF($D30="Full Time",8,"")</f>
        <v>8</v>
      </c>
      <c r="N30" s="20">
        <f t="shared" si="99"/>
        <v>8</v>
      </c>
      <c r="O30" s="18" t="b">
        <v>1</v>
      </c>
      <c r="P30" s="20">
        <f t="shared" ref="P30:R30" si="100">IF($D30="Full Time",8,"")</f>
        <v>8</v>
      </c>
      <c r="Q30" s="20">
        <f t="shared" si="100"/>
        <v>8</v>
      </c>
      <c r="R30" s="20">
        <f t="shared" si="100"/>
        <v>8</v>
      </c>
      <c r="S30" s="21"/>
      <c r="T30" s="21"/>
      <c r="U30" s="20">
        <f t="shared" ref="U30:Y30" si="101">IF($D30="Full Time",8,"")</f>
        <v>8</v>
      </c>
      <c r="V30" s="20">
        <f t="shared" si="101"/>
        <v>8</v>
      </c>
      <c r="W30" s="20">
        <f t="shared" si="101"/>
        <v>8</v>
      </c>
      <c r="X30" s="20">
        <f t="shared" si="101"/>
        <v>8</v>
      </c>
      <c r="Y30" s="20">
        <f t="shared" si="101"/>
        <v>8</v>
      </c>
      <c r="Z30" s="22" t="b">
        <v>1</v>
      </c>
      <c r="AA30" s="21"/>
      <c r="AB30" s="21"/>
      <c r="AC30" s="20">
        <f t="shared" ref="AC30:AG30" si="102">IF($D30="Full Time",8,"")</f>
        <v>8</v>
      </c>
      <c r="AD30" s="20">
        <f t="shared" si="102"/>
        <v>8</v>
      </c>
      <c r="AE30" s="20">
        <f t="shared" si="102"/>
        <v>8</v>
      </c>
      <c r="AF30" s="20">
        <f t="shared" si="102"/>
        <v>8</v>
      </c>
      <c r="AG30" s="20">
        <f t="shared" si="102"/>
        <v>8</v>
      </c>
      <c r="AH30" s="22" t="b">
        <v>1</v>
      </c>
      <c r="AI30" s="21"/>
      <c r="AJ30" s="21"/>
      <c r="AK30" s="20">
        <f t="shared" ref="AK30:AO30" si="103">IF($D30="Full Time",8,"")</f>
        <v>8</v>
      </c>
      <c r="AL30" s="20">
        <f t="shared" si="103"/>
        <v>8</v>
      </c>
      <c r="AM30" s="20">
        <f t="shared" si="103"/>
        <v>8</v>
      </c>
      <c r="AN30" s="20">
        <f t="shared" si="103"/>
        <v>8</v>
      </c>
      <c r="AO30" s="20">
        <f t="shared" si="103"/>
        <v>8</v>
      </c>
      <c r="AP30" s="22" t="b">
        <v>1</v>
      </c>
      <c r="AQ30" s="21"/>
      <c r="AR30" s="21"/>
    </row>
    <row r="31" ht="22.5" customHeight="1">
      <c r="A31" s="25" t="s">
        <v>107</v>
      </c>
      <c r="B31" s="25" t="s">
        <v>108</v>
      </c>
      <c r="C31" s="26" t="s">
        <v>60</v>
      </c>
      <c r="D31" s="15" t="s">
        <v>56</v>
      </c>
      <c r="E31" s="16" t="s">
        <v>57</v>
      </c>
      <c r="F31" s="17" t="str">
        <f t="shared" si="1"/>
        <v>Nicholas</v>
      </c>
      <c r="G31" s="18">
        <f t="shared" si="2"/>
        <v>120</v>
      </c>
      <c r="H31" s="17">
        <f t="shared" si="3"/>
        <v>15</v>
      </c>
      <c r="I31" s="17"/>
      <c r="J31" s="17"/>
      <c r="K31" s="24"/>
      <c r="L31" s="24"/>
      <c r="M31" s="20">
        <f t="shared" ref="M31:N31" si="104">IF($D31="Full Time",8,"")</f>
        <v>8</v>
      </c>
      <c r="N31" s="20">
        <f t="shared" si="104"/>
        <v>8</v>
      </c>
      <c r="O31" s="18" t="b">
        <v>1</v>
      </c>
      <c r="P31" s="20">
        <f t="shared" ref="P31:R31" si="105">IF($D31="Full Time",8,"")</f>
        <v>8</v>
      </c>
      <c r="Q31" s="20">
        <f t="shared" si="105"/>
        <v>8</v>
      </c>
      <c r="R31" s="20">
        <f t="shared" si="105"/>
        <v>8</v>
      </c>
      <c r="S31" s="21"/>
      <c r="T31" s="21"/>
      <c r="U31" s="20">
        <f t="shared" ref="U31:Y31" si="106">IF($D31="Full Time",8,"")</f>
        <v>8</v>
      </c>
      <c r="V31" s="20">
        <f t="shared" si="106"/>
        <v>8</v>
      </c>
      <c r="W31" s="20">
        <f t="shared" si="106"/>
        <v>8</v>
      </c>
      <c r="X31" s="20">
        <f t="shared" si="106"/>
        <v>8</v>
      </c>
      <c r="Y31" s="20">
        <f t="shared" si="106"/>
        <v>8</v>
      </c>
      <c r="Z31" s="22" t="b">
        <v>1</v>
      </c>
      <c r="AA31" s="21"/>
      <c r="AB31" s="21"/>
      <c r="AC31" s="20">
        <f t="shared" ref="AC31:AG31" si="107">IF($D31="Full Time",8,"")</f>
        <v>8</v>
      </c>
      <c r="AD31" s="20">
        <f t="shared" si="107"/>
        <v>8</v>
      </c>
      <c r="AE31" s="20">
        <f t="shared" si="107"/>
        <v>8</v>
      </c>
      <c r="AF31" s="20">
        <f t="shared" si="107"/>
        <v>8</v>
      </c>
      <c r="AG31" s="20">
        <f t="shared" si="107"/>
        <v>8</v>
      </c>
      <c r="AH31" s="22" t="b">
        <v>1</v>
      </c>
      <c r="AI31" s="21"/>
      <c r="AJ31" s="21"/>
      <c r="AK31" s="28"/>
      <c r="AL31" s="28"/>
      <c r="AM31" s="28"/>
      <c r="AN31" s="28"/>
      <c r="AO31" s="28"/>
      <c r="AP31" s="22" t="b">
        <v>1</v>
      </c>
      <c r="AQ31" s="21"/>
      <c r="AR31" s="21"/>
    </row>
    <row r="32" ht="22.5" customHeight="1">
      <c r="A32" s="25" t="s">
        <v>109</v>
      </c>
      <c r="B32" s="25" t="s">
        <v>110</v>
      </c>
      <c r="C32" s="26" t="s">
        <v>52</v>
      </c>
      <c r="D32" s="15" t="s">
        <v>56</v>
      </c>
      <c r="E32" s="16" t="s">
        <v>50</v>
      </c>
      <c r="F32" s="17" t="str">
        <f t="shared" si="1"/>
        <v>Nicholas</v>
      </c>
      <c r="G32" s="18">
        <f t="shared" si="2"/>
        <v>160</v>
      </c>
      <c r="H32" s="17">
        <f t="shared" si="3"/>
        <v>20</v>
      </c>
      <c r="I32" s="17"/>
      <c r="J32" s="17"/>
      <c r="K32" s="24"/>
      <c r="L32" s="24"/>
      <c r="M32" s="20">
        <f t="shared" ref="M32:N32" si="108">IF($D32="Full Time",8,"")</f>
        <v>8</v>
      </c>
      <c r="N32" s="20">
        <f t="shared" si="108"/>
        <v>8</v>
      </c>
      <c r="O32" s="18" t="b">
        <v>1</v>
      </c>
      <c r="P32" s="20">
        <f t="shared" ref="P32:R32" si="109">IF($D32="Full Time",8,"")</f>
        <v>8</v>
      </c>
      <c r="Q32" s="20">
        <f t="shared" si="109"/>
        <v>8</v>
      </c>
      <c r="R32" s="20">
        <f t="shared" si="109"/>
        <v>8</v>
      </c>
      <c r="S32" s="21"/>
      <c r="T32" s="21"/>
      <c r="U32" s="20">
        <f t="shared" ref="U32:Y32" si="110">IF($D32="Full Time",8,"")</f>
        <v>8</v>
      </c>
      <c r="V32" s="20">
        <f t="shared" si="110"/>
        <v>8</v>
      </c>
      <c r="W32" s="20">
        <f t="shared" si="110"/>
        <v>8</v>
      </c>
      <c r="X32" s="20">
        <f t="shared" si="110"/>
        <v>8</v>
      </c>
      <c r="Y32" s="20">
        <f t="shared" si="110"/>
        <v>8</v>
      </c>
      <c r="Z32" s="22" t="b">
        <v>1</v>
      </c>
      <c r="AA32" s="21"/>
      <c r="AB32" s="21"/>
      <c r="AC32" s="20">
        <f t="shared" ref="AC32:AG32" si="111">IF($D32="Full Time",8,"")</f>
        <v>8</v>
      </c>
      <c r="AD32" s="20">
        <f t="shared" si="111"/>
        <v>8</v>
      </c>
      <c r="AE32" s="20">
        <f t="shared" si="111"/>
        <v>8</v>
      </c>
      <c r="AF32" s="20">
        <f t="shared" si="111"/>
        <v>8</v>
      </c>
      <c r="AG32" s="20">
        <f t="shared" si="111"/>
        <v>8</v>
      </c>
      <c r="AH32" s="22" t="b">
        <v>1</v>
      </c>
      <c r="AI32" s="21"/>
      <c r="AJ32" s="21"/>
      <c r="AK32" s="20">
        <f t="shared" ref="AK32:AO32" si="112">IF($D32="Full Time",8,"")</f>
        <v>8</v>
      </c>
      <c r="AL32" s="20">
        <f t="shared" si="112"/>
        <v>8</v>
      </c>
      <c r="AM32" s="20">
        <f t="shared" si="112"/>
        <v>8</v>
      </c>
      <c r="AN32" s="20">
        <f t="shared" si="112"/>
        <v>8</v>
      </c>
      <c r="AO32" s="20">
        <f t="shared" si="112"/>
        <v>8</v>
      </c>
      <c r="AP32" s="22" t="b">
        <v>1</v>
      </c>
      <c r="AQ32" s="21"/>
      <c r="AR32" s="21"/>
    </row>
    <row r="33" ht="22.5" customHeight="1">
      <c r="A33" s="25" t="s">
        <v>111</v>
      </c>
      <c r="B33" s="25" t="s">
        <v>112</v>
      </c>
      <c r="C33" s="26" t="s">
        <v>55</v>
      </c>
      <c r="D33" s="15" t="s">
        <v>56</v>
      </c>
      <c r="E33" s="16" t="s">
        <v>57</v>
      </c>
      <c r="F33" s="17" t="str">
        <f t="shared" si="1"/>
        <v>Kathy</v>
      </c>
      <c r="G33" s="18">
        <f t="shared" si="2"/>
        <v>160</v>
      </c>
      <c r="H33" s="17">
        <f t="shared" si="3"/>
        <v>20</v>
      </c>
      <c r="I33" s="17"/>
      <c r="J33" s="17"/>
      <c r="K33" s="24"/>
      <c r="L33" s="24"/>
      <c r="M33" s="20">
        <f t="shared" ref="M33:N33" si="113">IF($D33="Full Time",8,"")</f>
        <v>8</v>
      </c>
      <c r="N33" s="20">
        <f t="shared" si="113"/>
        <v>8</v>
      </c>
      <c r="O33" s="18" t="b">
        <v>1</v>
      </c>
      <c r="P33" s="20">
        <f t="shared" ref="P33:R33" si="114">IF($D33="Full Time",8,"")</f>
        <v>8</v>
      </c>
      <c r="Q33" s="20">
        <f t="shared" si="114"/>
        <v>8</v>
      </c>
      <c r="R33" s="20">
        <f t="shared" si="114"/>
        <v>8</v>
      </c>
      <c r="S33" s="21"/>
      <c r="T33" s="21"/>
      <c r="U33" s="20">
        <f t="shared" ref="U33:Y33" si="115">IF($D33="Full Time",8,"")</f>
        <v>8</v>
      </c>
      <c r="V33" s="20">
        <f t="shared" si="115"/>
        <v>8</v>
      </c>
      <c r="W33" s="20">
        <f t="shared" si="115"/>
        <v>8</v>
      </c>
      <c r="X33" s="20">
        <f t="shared" si="115"/>
        <v>8</v>
      </c>
      <c r="Y33" s="20">
        <f t="shared" si="115"/>
        <v>8</v>
      </c>
      <c r="Z33" s="22" t="b">
        <v>1</v>
      </c>
      <c r="AA33" s="21"/>
      <c r="AB33" s="21"/>
      <c r="AC33" s="20">
        <f t="shared" ref="AC33:AG33" si="116">IF($D33="Full Time",8,"")</f>
        <v>8</v>
      </c>
      <c r="AD33" s="20">
        <f t="shared" si="116"/>
        <v>8</v>
      </c>
      <c r="AE33" s="20">
        <f t="shared" si="116"/>
        <v>8</v>
      </c>
      <c r="AF33" s="20">
        <f t="shared" si="116"/>
        <v>8</v>
      </c>
      <c r="AG33" s="20">
        <f t="shared" si="116"/>
        <v>8</v>
      </c>
      <c r="AH33" s="22" t="b">
        <v>1</v>
      </c>
      <c r="AI33" s="21"/>
      <c r="AJ33" s="21"/>
      <c r="AK33" s="20">
        <f t="shared" ref="AK33:AO33" si="117">IF($D33="Full Time",8,"")</f>
        <v>8</v>
      </c>
      <c r="AL33" s="20">
        <f t="shared" si="117"/>
        <v>8</v>
      </c>
      <c r="AM33" s="20">
        <f t="shared" si="117"/>
        <v>8</v>
      </c>
      <c r="AN33" s="20">
        <f t="shared" si="117"/>
        <v>8</v>
      </c>
      <c r="AO33" s="20">
        <f t="shared" si="117"/>
        <v>8</v>
      </c>
      <c r="AP33" s="22" t="b">
        <v>1</v>
      </c>
      <c r="AQ33" s="21"/>
      <c r="AR33" s="21"/>
    </row>
    <row r="34" ht="22.5" customHeight="1">
      <c r="A34" s="25" t="s">
        <v>113</v>
      </c>
      <c r="B34" s="25" t="s">
        <v>114</v>
      </c>
      <c r="C34" s="25" t="s">
        <v>115</v>
      </c>
      <c r="D34" s="23" t="s">
        <v>49</v>
      </c>
      <c r="E34" s="29"/>
      <c r="F34" s="17" t="str">
        <f t="shared" si="1"/>
        <v>Elena</v>
      </c>
      <c r="G34" s="18">
        <f t="shared" si="2"/>
        <v>80</v>
      </c>
      <c r="H34" s="17">
        <f t="shared" si="3"/>
        <v>10</v>
      </c>
      <c r="I34" s="17"/>
      <c r="J34" s="17"/>
      <c r="K34" s="24"/>
      <c r="L34" s="24"/>
      <c r="M34" s="20">
        <v>4.0</v>
      </c>
      <c r="N34" s="20">
        <v>4.0</v>
      </c>
      <c r="O34" s="18" t="b">
        <v>1</v>
      </c>
      <c r="P34" s="20">
        <v>4.0</v>
      </c>
      <c r="Q34" s="20">
        <v>4.0</v>
      </c>
      <c r="R34" s="20">
        <v>4.0</v>
      </c>
      <c r="S34" s="21"/>
      <c r="T34" s="21"/>
      <c r="U34" s="20">
        <v>4.0</v>
      </c>
      <c r="V34" s="20">
        <v>4.0</v>
      </c>
      <c r="W34" s="20">
        <v>4.0</v>
      </c>
      <c r="X34" s="20">
        <v>4.0</v>
      </c>
      <c r="Y34" s="20">
        <v>4.0</v>
      </c>
      <c r="Z34" s="22" t="b">
        <v>1</v>
      </c>
      <c r="AA34" s="21"/>
      <c r="AB34" s="21"/>
      <c r="AC34" s="30">
        <v>4.0</v>
      </c>
      <c r="AD34" s="30">
        <v>4.0</v>
      </c>
      <c r="AE34" s="30">
        <v>4.0</v>
      </c>
      <c r="AF34" s="30">
        <v>4.0</v>
      </c>
      <c r="AG34" s="30">
        <v>4.0</v>
      </c>
      <c r="AH34" s="22" t="b">
        <v>1</v>
      </c>
      <c r="AI34" s="21"/>
      <c r="AJ34" s="21"/>
      <c r="AK34" s="31">
        <v>4.0</v>
      </c>
      <c r="AL34" s="31">
        <v>4.0</v>
      </c>
      <c r="AM34" s="31">
        <v>4.0</v>
      </c>
      <c r="AN34" s="31">
        <v>4.0</v>
      </c>
      <c r="AO34" s="31">
        <v>4.0</v>
      </c>
      <c r="AP34" s="22" t="b">
        <v>1</v>
      </c>
      <c r="AQ34" s="21"/>
      <c r="AR34" s="21"/>
    </row>
    <row r="35" ht="22.5" customHeight="1">
      <c r="A35" s="25" t="s">
        <v>116</v>
      </c>
      <c r="B35" s="25" t="s">
        <v>117</v>
      </c>
      <c r="C35" s="25" t="s">
        <v>118</v>
      </c>
      <c r="D35" s="15" t="s">
        <v>56</v>
      </c>
      <c r="E35" s="16" t="s">
        <v>57</v>
      </c>
      <c r="F35" s="17" t="str">
        <f t="shared" si="1"/>
        <v>Nicholas</v>
      </c>
      <c r="G35" s="18">
        <f t="shared" si="2"/>
        <v>160</v>
      </c>
      <c r="H35" s="17">
        <f t="shared" si="3"/>
        <v>20</v>
      </c>
      <c r="I35" s="17"/>
      <c r="J35" s="17"/>
      <c r="K35" s="24"/>
      <c r="L35" s="24"/>
      <c r="M35" s="20">
        <f t="shared" ref="M35:N35" si="118">IF($D35="Full Time",8,"")</f>
        <v>8</v>
      </c>
      <c r="N35" s="20">
        <f t="shared" si="118"/>
        <v>8</v>
      </c>
      <c r="O35" s="18" t="b">
        <v>1</v>
      </c>
      <c r="P35" s="20">
        <f t="shared" ref="P35:R35" si="119">IF($D35="Full Time",8,"")</f>
        <v>8</v>
      </c>
      <c r="Q35" s="20">
        <f t="shared" si="119"/>
        <v>8</v>
      </c>
      <c r="R35" s="20">
        <f t="shared" si="119"/>
        <v>8</v>
      </c>
      <c r="S35" s="21"/>
      <c r="T35" s="21"/>
      <c r="U35" s="20">
        <f t="shared" ref="U35:Y35" si="120">IF($D35="Full Time",8,"")</f>
        <v>8</v>
      </c>
      <c r="V35" s="20">
        <f t="shared" si="120"/>
        <v>8</v>
      </c>
      <c r="W35" s="20">
        <f t="shared" si="120"/>
        <v>8</v>
      </c>
      <c r="X35" s="20">
        <f t="shared" si="120"/>
        <v>8</v>
      </c>
      <c r="Y35" s="20">
        <f t="shared" si="120"/>
        <v>8</v>
      </c>
      <c r="Z35" s="22" t="b">
        <v>1</v>
      </c>
      <c r="AA35" s="21"/>
      <c r="AB35" s="21"/>
      <c r="AC35" s="20">
        <f t="shared" ref="AC35:AG35" si="121">IF($D35="Full Time",8,"")</f>
        <v>8</v>
      </c>
      <c r="AD35" s="20">
        <f t="shared" si="121"/>
        <v>8</v>
      </c>
      <c r="AE35" s="20">
        <f t="shared" si="121"/>
        <v>8</v>
      </c>
      <c r="AF35" s="20">
        <f t="shared" si="121"/>
        <v>8</v>
      </c>
      <c r="AG35" s="20">
        <f t="shared" si="121"/>
        <v>8</v>
      </c>
      <c r="AH35" s="22" t="b">
        <v>1</v>
      </c>
      <c r="AI35" s="21"/>
      <c r="AJ35" s="21"/>
      <c r="AK35" s="20">
        <f t="shared" ref="AK35:AO35" si="122">IF($D35="Full Time",8,"")</f>
        <v>8</v>
      </c>
      <c r="AL35" s="20">
        <f t="shared" si="122"/>
        <v>8</v>
      </c>
      <c r="AM35" s="20">
        <f t="shared" si="122"/>
        <v>8</v>
      </c>
      <c r="AN35" s="20">
        <f t="shared" si="122"/>
        <v>8</v>
      </c>
      <c r="AO35" s="20">
        <f t="shared" si="122"/>
        <v>8</v>
      </c>
      <c r="AP35" s="22" t="b">
        <v>1</v>
      </c>
      <c r="AQ35" s="21"/>
      <c r="AR35" s="21"/>
    </row>
    <row r="36" ht="22.5" customHeight="1">
      <c r="A36" s="13" t="s">
        <v>119</v>
      </c>
      <c r="B36" s="13" t="s">
        <v>120</v>
      </c>
      <c r="C36" s="14" t="s">
        <v>63</v>
      </c>
      <c r="D36" s="15" t="s">
        <v>49</v>
      </c>
      <c r="E36" s="16" t="s">
        <v>57</v>
      </c>
      <c r="F36" s="17" t="str">
        <f t="shared" si="1"/>
        <v>Ean</v>
      </c>
      <c r="G36" s="18">
        <f t="shared" si="2"/>
        <v>20</v>
      </c>
      <c r="H36" s="17">
        <f t="shared" si="3"/>
        <v>2.5</v>
      </c>
      <c r="I36" s="17"/>
      <c r="J36" s="17"/>
      <c r="K36" s="24"/>
      <c r="L36" s="24"/>
      <c r="M36" s="20">
        <v>1.0</v>
      </c>
      <c r="N36" s="20">
        <v>1.0</v>
      </c>
      <c r="O36" s="18" t="b">
        <v>1</v>
      </c>
      <c r="P36" s="20">
        <v>1.0</v>
      </c>
      <c r="Q36" s="20">
        <v>1.0</v>
      </c>
      <c r="R36" s="20">
        <v>1.0</v>
      </c>
      <c r="S36" s="21"/>
      <c r="T36" s="21"/>
      <c r="U36" s="20">
        <v>1.0</v>
      </c>
      <c r="V36" s="20">
        <v>1.0</v>
      </c>
      <c r="W36" s="20">
        <v>1.0</v>
      </c>
      <c r="X36" s="20">
        <v>1.0</v>
      </c>
      <c r="Y36" s="20">
        <v>1.0</v>
      </c>
      <c r="Z36" s="22" t="b">
        <v>1</v>
      </c>
      <c r="AA36" s="21"/>
      <c r="AB36" s="21"/>
      <c r="AC36" s="20">
        <v>1.0</v>
      </c>
      <c r="AD36" s="20">
        <v>1.0</v>
      </c>
      <c r="AE36" s="20">
        <v>1.0</v>
      </c>
      <c r="AF36" s="20">
        <v>1.0</v>
      </c>
      <c r="AG36" s="20">
        <v>1.0</v>
      </c>
      <c r="AH36" s="22" t="b">
        <v>1</v>
      </c>
      <c r="AI36" s="21"/>
      <c r="AJ36" s="21"/>
      <c r="AK36" s="20">
        <v>1.0</v>
      </c>
      <c r="AL36" s="20">
        <v>1.0</v>
      </c>
      <c r="AM36" s="20">
        <v>1.0</v>
      </c>
      <c r="AN36" s="20">
        <v>1.0</v>
      </c>
      <c r="AO36" s="20">
        <v>1.0</v>
      </c>
      <c r="AP36" s="22" t="b">
        <v>1</v>
      </c>
      <c r="AQ36" s="21"/>
      <c r="AR36" s="21"/>
    </row>
    <row r="37" ht="22.5" customHeight="1">
      <c r="A37" s="13" t="s">
        <v>119</v>
      </c>
      <c r="B37" s="13" t="s">
        <v>120</v>
      </c>
      <c r="C37" s="13" t="s">
        <v>115</v>
      </c>
      <c r="D37" s="23" t="s">
        <v>49</v>
      </c>
      <c r="E37" s="32"/>
      <c r="F37" s="17" t="str">
        <f t="shared" si="1"/>
        <v>Elena</v>
      </c>
      <c r="G37" s="18">
        <f t="shared" si="2"/>
        <v>140</v>
      </c>
      <c r="H37" s="17">
        <f t="shared" si="3"/>
        <v>17.5</v>
      </c>
      <c r="I37" s="17"/>
      <c r="J37" s="17"/>
      <c r="K37" s="24"/>
      <c r="L37" s="24"/>
      <c r="M37" s="20">
        <v>7.0</v>
      </c>
      <c r="N37" s="20">
        <v>7.0</v>
      </c>
      <c r="O37" s="18" t="b">
        <v>1</v>
      </c>
      <c r="P37" s="20">
        <v>7.0</v>
      </c>
      <c r="Q37" s="20">
        <v>7.0</v>
      </c>
      <c r="R37" s="20">
        <v>7.0</v>
      </c>
      <c r="S37" s="21"/>
      <c r="T37" s="21"/>
      <c r="U37" s="20">
        <v>7.0</v>
      </c>
      <c r="V37" s="20">
        <v>7.0</v>
      </c>
      <c r="W37" s="20">
        <v>7.0</v>
      </c>
      <c r="X37" s="20">
        <v>7.0</v>
      </c>
      <c r="Y37" s="20">
        <v>7.0</v>
      </c>
      <c r="Z37" s="22" t="b">
        <v>1</v>
      </c>
      <c r="AA37" s="21"/>
      <c r="AB37" s="21"/>
      <c r="AC37" s="20">
        <v>7.0</v>
      </c>
      <c r="AD37" s="20">
        <v>7.0</v>
      </c>
      <c r="AE37" s="20">
        <v>7.0</v>
      </c>
      <c r="AF37" s="20">
        <v>7.0</v>
      </c>
      <c r="AG37" s="20">
        <v>7.0</v>
      </c>
      <c r="AH37" s="22" t="b">
        <v>1</v>
      </c>
      <c r="AI37" s="21"/>
      <c r="AJ37" s="21"/>
      <c r="AK37" s="20">
        <v>7.0</v>
      </c>
      <c r="AL37" s="20">
        <v>7.0</v>
      </c>
      <c r="AM37" s="20">
        <v>7.0</v>
      </c>
      <c r="AN37" s="20">
        <v>7.0</v>
      </c>
      <c r="AO37" s="20">
        <v>7.0</v>
      </c>
      <c r="AP37" s="22" t="b">
        <v>1</v>
      </c>
      <c r="AQ37" s="21"/>
      <c r="AR37" s="21"/>
    </row>
    <row r="38" ht="22.5" customHeight="1">
      <c r="A38" s="25" t="s">
        <v>121</v>
      </c>
      <c r="B38" s="25" t="s">
        <v>122</v>
      </c>
      <c r="C38" s="26" t="s">
        <v>60</v>
      </c>
      <c r="D38" s="15" t="s">
        <v>56</v>
      </c>
      <c r="E38" s="16" t="s">
        <v>57</v>
      </c>
      <c r="F38" s="17" t="str">
        <f t="shared" si="1"/>
        <v>Nicholas</v>
      </c>
      <c r="G38" s="18">
        <f t="shared" si="2"/>
        <v>160</v>
      </c>
      <c r="H38" s="17">
        <f t="shared" si="3"/>
        <v>20</v>
      </c>
      <c r="I38" s="17"/>
      <c r="J38" s="17"/>
      <c r="K38" s="24"/>
      <c r="L38" s="24"/>
      <c r="M38" s="20">
        <f t="shared" ref="M38:N38" si="123">IF($D38="Full Time",8,"")</f>
        <v>8</v>
      </c>
      <c r="N38" s="20">
        <f t="shared" si="123"/>
        <v>8</v>
      </c>
      <c r="O38" s="18" t="b">
        <v>1</v>
      </c>
      <c r="P38" s="20">
        <f t="shared" ref="P38:R38" si="124">IF($D38="Full Time",8,"")</f>
        <v>8</v>
      </c>
      <c r="Q38" s="20">
        <f t="shared" si="124"/>
        <v>8</v>
      </c>
      <c r="R38" s="20">
        <f t="shared" si="124"/>
        <v>8</v>
      </c>
      <c r="S38" s="21"/>
      <c r="T38" s="21"/>
      <c r="U38" s="20">
        <f t="shared" ref="U38:Y38" si="125">IF($D38="Full Time",8,"")</f>
        <v>8</v>
      </c>
      <c r="V38" s="20">
        <f t="shared" si="125"/>
        <v>8</v>
      </c>
      <c r="W38" s="20">
        <f t="shared" si="125"/>
        <v>8</v>
      </c>
      <c r="X38" s="20">
        <f t="shared" si="125"/>
        <v>8</v>
      </c>
      <c r="Y38" s="20">
        <f t="shared" si="125"/>
        <v>8</v>
      </c>
      <c r="Z38" s="22" t="b">
        <v>1</v>
      </c>
      <c r="AA38" s="21"/>
      <c r="AB38" s="21"/>
      <c r="AC38" s="20">
        <f t="shared" ref="AC38:AG38" si="126">IF($D38="Full Time",8,"")</f>
        <v>8</v>
      </c>
      <c r="AD38" s="20">
        <f t="shared" si="126"/>
        <v>8</v>
      </c>
      <c r="AE38" s="20">
        <f t="shared" si="126"/>
        <v>8</v>
      </c>
      <c r="AF38" s="20">
        <f t="shared" si="126"/>
        <v>8</v>
      </c>
      <c r="AG38" s="20">
        <f t="shared" si="126"/>
        <v>8</v>
      </c>
      <c r="AH38" s="22" t="b">
        <v>1</v>
      </c>
      <c r="AI38" s="21"/>
      <c r="AJ38" s="21"/>
      <c r="AK38" s="20">
        <f t="shared" ref="AK38:AO38" si="127">IF($D38="Full Time",8,"")</f>
        <v>8</v>
      </c>
      <c r="AL38" s="20">
        <f t="shared" si="127"/>
        <v>8</v>
      </c>
      <c r="AM38" s="20">
        <f t="shared" si="127"/>
        <v>8</v>
      </c>
      <c r="AN38" s="20">
        <f t="shared" si="127"/>
        <v>8</v>
      </c>
      <c r="AO38" s="20">
        <f t="shared" si="127"/>
        <v>8</v>
      </c>
      <c r="AP38" s="22" t="b">
        <v>1</v>
      </c>
      <c r="AQ38" s="21"/>
      <c r="AR38" s="21"/>
    </row>
    <row r="39" ht="22.5" customHeight="1">
      <c r="A39" s="25" t="s">
        <v>123</v>
      </c>
      <c r="B39" s="25" t="s">
        <v>124</v>
      </c>
      <c r="C39" s="26" t="s">
        <v>55</v>
      </c>
      <c r="D39" s="15" t="s">
        <v>56</v>
      </c>
      <c r="E39" s="16" t="s">
        <v>57</v>
      </c>
      <c r="F39" s="17" t="str">
        <f t="shared" si="1"/>
        <v>Kathy</v>
      </c>
      <c r="G39" s="18">
        <f t="shared" si="2"/>
        <v>160</v>
      </c>
      <c r="H39" s="17">
        <f t="shared" si="3"/>
        <v>20</v>
      </c>
      <c r="I39" s="17"/>
      <c r="J39" s="17"/>
      <c r="K39" s="24"/>
      <c r="L39" s="24"/>
      <c r="M39" s="20">
        <f t="shared" ref="M39:N39" si="128">IF($D39="Full Time",8,"")</f>
        <v>8</v>
      </c>
      <c r="N39" s="20">
        <f t="shared" si="128"/>
        <v>8</v>
      </c>
      <c r="O39" s="18" t="b">
        <v>1</v>
      </c>
      <c r="P39" s="20">
        <f t="shared" ref="P39:R39" si="129">IF($D39="Full Time",8,"")</f>
        <v>8</v>
      </c>
      <c r="Q39" s="20">
        <f t="shared" si="129"/>
        <v>8</v>
      </c>
      <c r="R39" s="20">
        <f t="shared" si="129"/>
        <v>8</v>
      </c>
      <c r="S39" s="21"/>
      <c r="T39" s="21"/>
      <c r="U39" s="20">
        <f t="shared" ref="U39:Y39" si="130">IF($D39="Full Time",8,"")</f>
        <v>8</v>
      </c>
      <c r="V39" s="20">
        <f t="shared" si="130"/>
        <v>8</v>
      </c>
      <c r="W39" s="20">
        <f t="shared" si="130"/>
        <v>8</v>
      </c>
      <c r="X39" s="20">
        <f t="shared" si="130"/>
        <v>8</v>
      </c>
      <c r="Y39" s="20">
        <f t="shared" si="130"/>
        <v>8</v>
      </c>
      <c r="Z39" s="22" t="b">
        <v>1</v>
      </c>
      <c r="AA39" s="21"/>
      <c r="AB39" s="21"/>
      <c r="AC39" s="20">
        <f t="shared" ref="AC39:AG39" si="131">IF($D39="Full Time",8,"")</f>
        <v>8</v>
      </c>
      <c r="AD39" s="20">
        <f t="shared" si="131"/>
        <v>8</v>
      </c>
      <c r="AE39" s="20">
        <f t="shared" si="131"/>
        <v>8</v>
      </c>
      <c r="AF39" s="20">
        <f t="shared" si="131"/>
        <v>8</v>
      </c>
      <c r="AG39" s="20">
        <f t="shared" si="131"/>
        <v>8</v>
      </c>
      <c r="AH39" s="22" t="b">
        <v>1</v>
      </c>
      <c r="AI39" s="21"/>
      <c r="AJ39" s="21"/>
      <c r="AK39" s="20">
        <f t="shared" ref="AK39:AO39" si="132">IF($D39="Full Time",8,"")</f>
        <v>8</v>
      </c>
      <c r="AL39" s="20">
        <f t="shared" si="132"/>
        <v>8</v>
      </c>
      <c r="AM39" s="20">
        <f t="shared" si="132"/>
        <v>8</v>
      </c>
      <c r="AN39" s="20">
        <f t="shared" si="132"/>
        <v>8</v>
      </c>
      <c r="AO39" s="20">
        <f t="shared" si="132"/>
        <v>8</v>
      </c>
      <c r="AP39" s="22" t="b">
        <v>1</v>
      </c>
      <c r="AQ39" s="21"/>
      <c r="AR39" s="21"/>
    </row>
    <row r="40" ht="22.5" customHeight="1">
      <c r="A40" s="25" t="s">
        <v>125</v>
      </c>
      <c r="B40" s="25" t="s">
        <v>126</v>
      </c>
      <c r="C40" s="26" t="s">
        <v>55</v>
      </c>
      <c r="D40" s="15" t="s">
        <v>56</v>
      </c>
      <c r="E40" s="16" t="s">
        <v>57</v>
      </c>
      <c r="F40" s="17" t="str">
        <f t="shared" si="1"/>
        <v>Kathy</v>
      </c>
      <c r="G40" s="18">
        <f t="shared" si="2"/>
        <v>160</v>
      </c>
      <c r="H40" s="17">
        <f t="shared" si="3"/>
        <v>20</v>
      </c>
      <c r="I40" s="17"/>
      <c r="J40" s="17"/>
      <c r="K40" s="24"/>
      <c r="L40" s="24"/>
      <c r="M40" s="20">
        <f t="shared" ref="M40:N40" si="133">IF($D40="Full Time",8,"")</f>
        <v>8</v>
      </c>
      <c r="N40" s="20">
        <f t="shared" si="133"/>
        <v>8</v>
      </c>
      <c r="O40" s="18" t="b">
        <v>1</v>
      </c>
      <c r="P40" s="20">
        <f t="shared" ref="P40:R40" si="134">IF($D40="Full Time",8,"")</f>
        <v>8</v>
      </c>
      <c r="Q40" s="20">
        <f t="shared" si="134"/>
        <v>8</v>
      </c>
      <c r="R40" s="20">
        <f t="shared" si="134"/>
        <v>8</v>
      </c>
      <c r="S40" s="21"/>
      <c r="T40" s="21"/>
      <c r="U40" s="20">
        <f t="shared" ref="U40:Y40" si="135">IF($D40="Full Time",8,"")</f>
        <v>8</v>
      </c>
      <c r="V40" s="20">
        <f t="shared" si="135"/>
        <v>8</v>
      </c>
      <c r="W40" s="20">
        <f t="shared" si="135"/>
        <v>8</v>
      </c>
      <c r="X40" s="20">
        <f t="shared" si="135"/>
        <v>8</v>
      </c>
      <c r="Y40" s="20">
        <f t="shared" si="135"/>
        <v>8</v>
      </c>
      <c r="Z40" s="22" t="b">
        <v>1</v>
      </c>
      <c r="AA40" s="21"/>
      <c r="AB40" s="21"/>
      <c r="AC40" s="20">
        <f t="shared" ref="AC40:AG40" si="136">IF($D40="Full Time",8,"")</f>
        <v>8</v>
      </c>
      <c r="AD40" s="20">
        <f t="shared" si="136"/>
        <v>8</v>
      </c>
      <c r="AE40" s="20">
        <f t="shared" si="136"/>
        <v>8</v>
      </c>
      <c r="AF40" s="20">
        <f t="shared" si="136"/>
        <v>8</v>
      </c>
      <c r="AG40" s="20">
        <f t="shared" si="136"/>
        <v>8</v>
      </c>
      <c r="AH40" s="22" t="b">
        <v>1</v>
      </c>
      <c r="AI40" s="21"/>
      <c r="AJ40" s="21"/>
      <c r="AK40" s="20">
        <f t="shared" ref="AK40:AO40" si="137">IF($D40="Full Time",8,"")</f>
        <v>8</v>
      </c>
      <c r="AL40" s="20">
        <f t="shared" si="137"/>
        <v>8</v>
      </c>
      <c r="AM40" s="20">
        <f t="shared" si="137"/>
        <v>8</v>
      </c>
      <c r="AN40" s="20">
        <f t="shared" si="137"/>
        <v>8</v>
      </c>
      <c r="AO40" s="20">
        <f t="shared" si="137"/>
        <v>8</v>
      </c>
      <c r="AP40" s="22" t="b">
        <v>1</v>
      </c>
      <c r="AQ40" s="21"/>
      <c r="AR40" s="21"/>
    </row>
    <row r="41" ht="22.5" customHeight="1">
      <c r="A41" s="25" t="s">
        <v>127</v>
      </c>
      <c r="B41" s="25" t="s">
        <v>128</v>
      </c>
      <c r="C41" s="26" t="s">
        <v>55</v>
      </c>
      <c r="D41" s="15" t="s">
        <v>56</v>
      </c>
      <c r="E41" s="16" t="s">
        <v>57</v>
      </c>
      <c r="F41" s="17" t="str">
        <f t="shared" si="1"/>
        <v>Kathy</v>
      </c>
      <c r="G41" s="18">
        <f t="shared" si="2"/>
        <v>160</v>
      </c>
      <c r="H41" s="17">
        <f t="shared" si="3"/>
        <v>20</v>
      </c>
      <c r="I41" s="17"/>
      <c r="J41" s="17"/>
      <c r="K41" s="24"/>
      <c r="L41" s="24"/>
      <c r="M41" s="20">
        <f t="shared" ref="M41:N41" si="138">IF($D41="Full Time",8,"")</f>
        <v>8</v>
      </c>
      <c r="N41" s="20">
        <f t="shared" si="138"/>
        <v>8</v>
      </c>
      <c r="O41" s="18" t="b">
        <v>1</v>
      </c>
      <c r="P41" s="20">
        <f t="shared" ref="P41:R41" si="139">IF($D41="Full Time",8,"")</f>
        <v>8</v>
      </c>
      <c r="Q41" s="20">
        <f t="shared" si="139"/>
        <v>8</v>
      </c>
      <c r="R41" s="20">
        <f t="shared" si="139"/>
        <v>8</v>
      </c>
      <c r="S41" s="21"/>
      <c r="T41" s="21"/>
      <c r="U41" s="20">
        <f t="shared" ref="U41:Y41" si="140">IF($D41="Full Time",8,"")</f>
        <v>8</v>
      </c>
      <c r="V41" s="20">
        <f t="shared" si="140"/>
        <v>8</v>
      </c>
      <c r="W41" s="20">
        <f t="shared" si="140"/>
        <v>8</v>
      </c>
      <c r="X41" s="20">
        <f t="shared" si="140"/>
        <v>8</v>
      </c>
      <c r="Y41" s="20">
        <f t="shared" si="140"/>
        <v>8</v>
      </c>
      <c r="Z41" s="22" t="b">
        <v>1</v>
      </c>
      <c r="AA41" s="21"/>
      <c r="AB41" s="21"/>
      <c r="AC41" s="20">
        <f t="shared" ref="AC41:AG41" si="141">IF($D41="Full Time",8,"")</f>
        <v>8</v>
      </c>
      <c r="AD41" s="20">
        <f t="shared" si="141"/>
        <v>8</v>
      </c>
      <c r="AE41" s="20">
        <f t="shared" si="141"/>
        <v>8</v>
      </c>
      <c r="AF41" s="20">
        <f t="shared" si="141"/>
        <v>8</v>
      </c>
      <c r="AG41" s="20">
        <f t="shared" si="141"/>
        <v>8</v>
      </c>
      <c r="AH41" s="22" t="b">
        <v>1</v>
      </c>
      <c r="AI41" s="21"/>
      <c r="AJ41" s="21"/>
      <c r="AK41" s="20">
        <f t="shared" ref="AK41:AO41" si="142">IF($D41="Full Time",8,"")</f>
        <v>8</v>
      </c>
      <c r="AL41" s="20">
        <f t="shared" si="142"/>
        <v>8</v>
      </c>
      <c r="AM41" s="20">
        <f t="shared" si="142"/>
        <v>8</v>
      </c>
      <c r="AN41" s="20">
        <f t="shared" si="142"/>
        <v>8</v>
      </c>
      <c r="AO41" s="20">
        <f t="shared" si="142"/>
        <v>8</v>
      </c>
      <c r="AP41" s="22" t="b">
        <v>1</v>
      </c>
      <c r="AQ41" s="21"/>
      <c r="AR41" s="21"/>
    </row>
    <row r="42" ht="22.5" customHeight="1">
      <c r="A42" s="13" t="s">
        <v>129</v>
      </c>
      <c r="B42" s="13" t="s">
        <v>130</v>
      </c>
      <c r="C42" s="14" t="s">
        <v>63</v>
      </c>
      <c r="D42" s="15" t="s">
        <v>49</v>
      </c>
      <c r="E42" s="16" t="s">
        <v>57</v>
      </c>
      <c r="F42" s="17" t="str">
        <f t="shared" si="1"/>
        <v>Ean</v>
      </c>
      <c r="G42" s="18">
        <f t="shared" si="2"/>
        <v>0</v>
      </c>
      <c r="H42" s="17">
        <f t="shared" si="3"/>
        <v>0</v>
      </c>
      <c r="I42" s="17"/>
      <c r="J42" s="17"/>
      <c r="K42" s="24"/>
      <c r="L42" s="24"/>
      <c r="M42" s="20">
        <v>0.0</v>
      </c>
      <c r="N42" s="20">
        <v>0.0</v>
      </c>
      <c r="O42" s="18" t="b">
        <v>1</v>
      </c>
      <c r="P42" s="20">
        <v>0.0</v>
      </c>
      <c r="Q42" s="20">
        <v>0.0</v>
      </c>
      <c r="R42" s="20">
        <v>0.0</v>
      </c>
      <c r="S42" s="21"/>
      <c r="T42" s="21"/>
      <c r="U42" s="20">
        <v>0.0</v>
      </c>
      <c r="V42" s="20">
        <v>0.0</v>
      </c>
      <c r="W42" s="20">
        <v>0.0</v>
      </c>
      <c r="X42" s="20">
        <v>0.0</v>
      </c>
      <c r="Y42" s="20">
        <v>0.0</v>
      </c>
      <c r="Z42" s="22" t="b">
        <v>1</v>
      </c>
      <c r="AA42" s="21"/>
      <c r="AB42" s="21"/>
      <c r="AC42" s="20">
        <v>0.0</v>
      </c>
      <c r="AD42" s="20">
        <v>0.0</v>
      </c>
      <c r="AE42" s="20">
        <v>0.0</v>
      </c>
      <c r="AF42" s="20">
        <v>0.0</v>
      </c>
      <c r="AG42" s="20">
        <v>0.0</v>
      </c>
      <c r="AH42" s="22" t="b">
        <v>1</v>
      </c>
      <c r="AI42" s="21"/>
      <c r="AJ42" s="21"/>
      <c r="AK42" s="20">
        <v>0.0</v>
      </c>
      <c r="AL42" s="20">
        <v>0.0</v>
      </c>
      <c r="AM42" s="20">
        <v>0.0</v>
      </c>
      <c r="AN42" s="20">
        <v>0.0</v>
      </c>
      <c r="AO42" s="20">
        <v>0.0</v>
      </c>
      <c r="AP42" s="22" t="b">
        <v>1</v>
      </c>
      <c r="AQ42" s="21"/>
      <c r="AR42" s="21"/>
    </row>
    <row r="43" ht="22.5" customHeight="1">
      <c r="A43" s="13" t="s">
        <v>129</v>
      </c>
      <c r="B43" s="13" t="s">
        <v>130</v>
      </c>
      <c r="C43" s="13" t="s">
        <v>48</v>
      </c>
      <c r="D43" s="23" t="s">
        <v>56</v>
      </c>
      <c r="E43" s="16" t="s">
        <v>50</v>
      </c>
      <c r="F43" s="17" t="str">
        <f t="shared" si="1"/>
        <v>Rohini</v>
      </c>
      <c r="G43" s="18">
        <v>160.0</v>
      </c>
      <c r="H43" s="18">
        <v>20.0</v>
      </c>
      <c r="I43" s="18"/>
      <c r="J43" s="17"/>
      <c r="K43" s="24"/>
      <c r="L43" s="24"/>
      <c r="M43" s="20">
        <v>8.0</v>
      </c>
      <c r="N43" s="20">
        <v>8.0</v>
      </c>
      <c r="O43" s="18" t="b">
        <v>1</v>
      </c>
      <c r="P43" s="20">
        <v>8.0</v>
      </c>
      <c r="Q43" s="20">
        <v>8.0</v>
      </c>
      <c r="R43" s="20">
        <v>8.0</v>
      </c>
      <c r="S43" s="21"/>
      <c r="T43" s="21"/>
      <c r="U43" s="20">
        <v>8.0</v>
      </c>
      <c r="V43" s="20">
        <v>8.0</v>
      </c>
      <c r="W43" s="20">
        <v>8.0</v>
      </c>
      <c r="X43" s="20">
        <v>8.0</v>
      </c>
      <c r="Y43" s="20">
        <v>8.0</v>
      </c>
      <c r="Z43" s="22" t="b">
        <v>1</v>
      </c>
      <c r="AA43" s="21"/>
      <c r="AB43" s="21"/>
      <c r="AC43" s="20">
        <v>8.0</v>
      </c>
      <c r="AD43" s="20">
        <v>8.0</v>
      </c>
      <c r="AE43" s="20">
        <v>8.0</v>
      </c>
      <c r="AF43" s="20">
        <v>8.0</v>
      </c>
      <c r="AG43" s="20">
        <v>8.0</v>
      </c>
      <c r="AH43" s="22" t="b">
        <v>1</v>
      </c>
      <c r="AI43" s="21"/>
      <c r="AJ43" s="21"/>
      <c r="AK43" s="20">
        <v>8.0</v>
      </c>
      <c r="AL43" s="20">
        <v>8.0</v>
      </c>
      <c r="AM43" s="20">
        <v>8.0</v>
      </c>
      <c r="AN43" s="20">
        <v>8.0</v>
      </c>
      <c r="AO43" s="20">
        <v>8.0</v>
      </c>
      <c r="AP43" s="22" t="b">
        <v>1</v>
      </c>
      <c r="AQ43" s="21"/>
      <c r="AR43" s="21"/>
    </row>
    <row r="44" ht="22.5" customHeight="1">
      <c r="A44" s="25" t="s">
        <v>131</v>
      </c>
      <c r="B44" s="25" t="s">
        <v>132</v>
      </c>
      <c r="C44" s="26" t="s">
        <v>63</v>
      </c>
      <c r="D44" s="15" t="s">
        <v>56</v>
      </c>
      <c r="E44" s="16" t="s">
        <v>57</v>
      </c>
      <c r="F44" s="17" t="str">
        <f t="shared" si="1"/>
        <v>Ean</v>
      </c>
      <c r="G44" s="18">
        <f t="shared" ref="G44:G116" si="148">SUM(K44:AR44)</f>
        <v>160</v>
      </c>
      <c r="H44" s="17">
        <f t="shared" ref="H44:H116" si="149">G44/8</f>
        <v>20</v>
      </c>
      <c r="I44" s="17"/>
      <c r="J44" s="17"/>
      <c r="K44" s="24"/>
      <c r="L44" s="24"/>
      <c r="M44" s="20">
        <f t="shared" ref="M44:N44" si="143">IF($D44="Full Time",8,"")</f>
        <v>8</v>
      </c>
      <c r="N44" s="20">
        <f t="shared" si="143"/>
        <v>8</v>
      </c>
      <c r="O44" s="18" t="b">
        <v>1</v>
      </c>
      <c r="P44" s="20">
        <f t="shared" ref="P44:R44" si="144">IF($D44="Full Time",8,"")</f>
        <v>8</v>
      </c>
      <c r="Q44" s="20">
        <f t="shared" si="144"/>
        <v>8</v>
      </c>
      <c r="R44" s="20">
        <f t="shared" si="144"/>
        <v>8</v>
      </c>
      <c r="S44" s="21"/>
      <c r="T44" s="21"/>
      <c r="U44" s="20">
        <f t="shared" ref="U44:Y44" si="145">IF($D44="Full Time",8,"")</f>
        <v>8</v>
      </c>
      <c r="V44" s="20">
        <f t="shared" si="145"/>
        <v>8</v>
      </c>
      <c r="W44" s="20">
        <f t="shared" si="145"/>
        <v>8</v>
      </c>
      <c r="X44" s="20">
        <f t="shared" si="145"/>
        <v>8</v>
      </c>
      <c r="Y44" s="20">
        <f t="shared" si="145"/>
        <v>8</v>
      </c>
      <c r="Z44" s="22" t="b">
        <v>1</v>
      </c>
      <c r="AA44" s="21"/>
      <c r="AB44" s="21"/>
      <c r="AC44" s="20">
        <f t="shared" ref="AC44:AG44" si="146">IF($D44="Full Time",8,"")</f>
        <v>8</v>
      </c>
      <c r="AD44" s="20">
        <f t="shared" si="146"/>
        <v>8</v>
      </c>
      <c r="AE44" s="20">
        <f t="shared" si="146"/>
        <v>8</v>
      </c>
      <c r="AF44" s="20">
        <f t="shared" si="146"/>
        <v>8</v>
      </c>
      <c r="AG44" s="20">
        <f t="shared" si="146"/>
        <v>8</v>
      </c>
      <c r="AH44" s="22" t="b">
        <v>1</v>
      </c>
      <c r="AI44" s="21"/>
      <c r="AJ44" s="21"/>
      <c r="AK44" s="20">
        <f t="shared" ref="AK44:AO44" si="147">IF($D44="Full Time",8,"")</f>
        <v>8</v>
      </c>
      <c r="AL44" s="20">
        <f t="shared" si="147"/>
        <v>8</v>
      </c>
      <c r="AM44" s="20">
        <f t="shared" si="147"/>
        <v>8</v>
      </c>
      <c r="AN44" s="20">
        <f t="shared" si="147"/>
        <v>8</v>
      </c>
      <c r="AO44" s="20">
        <f t="shared" si="147"/>
        <v>8</v>
      </c>
      <c r="AP44" s="22" t="b">
        <v>1</v>
      </c>
      <c r="AQ44" s="21"/>
      <c r="AR44" s="21"/>
    </row>
    <row r="45" ht="22.5" customHeight="1">
      <c r="A45" s="25" t="s">
        <v>133</v>
      </c>
      <c r="B45" s="25" t="s">
        <v>134</v>
      </c>
      <c r="C45" s="26" t="s">
        <v>60</v>
      </c>
      <c r="D45" s="15" t="s">
        <v>56</v>
      </c>
      <c r="E45" s="16" t="s">
        <v>57</v>
      </c>
      <c r="F45" s="17" t="str">
        <f t="shared" si="1"/>
        <v>Nicholas</v>
      </c>
      <c r="G45" s="18">
        <f t="shared" si="148"/>
        <v>160</v>
      </c>
      <c r="H45" s="17">
        <f t="shared" si="149"/>
        <v>20</v>
      </c>
      <c r="I45" s="17"/>
      <c r="J45" s="17"/>
      <c r="K45" s="24"/>
      <c r="L45" s="24"/>
      <c r="M45" s="20">
        <f t="shared" ref="M45:N45" si="150">IF($D45="Full Time",8,"")</f>
        <v>8</v>
      </c>
      <c r="N45" s="20">
        <f t="shared" si="150"/>
        <v>8</v>
      </c>
      <c r="O45" s="18" t="b">
        <v>1</v>
      </c>
      <c r="P45" s="20">
        <f t="shared" ref="P45:R45" si="151">IF($D45="Full Time",8,"")</f>
        <v>8</v>
      </c>
      <c r="Q45" s="20">
        <f t="shared" si="151"/>
        <v>8</v>
      </c>
      <c r="R45" s="20">
        <f t="shared" si="151"/>
        <v>8</v>
      </c>
      <c r="S45" s="21"/>
      <c r="T45" s="21"/>
      <c r="U45" s="20">
        <f t="shared" ref="U45:Y45" si="152">IF($D45="Full Time",8,"")</f>
        <v>8</v>
      </c>
      <c r="V45" s="20">
        <f t="shared" si="152"/>
        <v>8</v>
      </c>
      <c r="W45" s="20">
        <f t="shared" si="152"/>
        <v>8</v>
      </c>
      <c r="X45" s="20">
        <f t="shared" si="152"/>
        <v>8</v>
      </c>
      <c r="Y45" s="20">
        <f t="shared" si="152"/>
        <v>8</v>
      </c>
      <c r="Z45" s="22" t="b">
        <v>1</v>
      </c>
      <c r="AA45" s="21"/>
      <c r="AB45" s="21"/>
      <c r="AC45" s="20">
        <f t="shared" ref="AC45:AG45" si="153">IF($D45="Full Time",8,"")</f>
        <v>8</v>
      </c>
      <c r="AD45" s="20">
        <f t="shared" si="153"/>
        <v>8</v>
      </c>
      <c r="AE45" s="20">
        <f t="shared" si="153"/>
        <v>8</v>
      </c>
      <c r="AF45" s="20">
        <f t="shared" si="153"/>
        <v>8</v>
      </c>
      <c r="AG45" s="20">
        <f t="shared" si="153"/>
        <v>8</v>
      </c>
      <c r="AH45" s="22" t="b">
        <v>1</v>
      </c>
      <c r="AI45" s="21"/>
      <c r="AJ45" s="21"/>
      <c r="AK45" s="20">
        <f t="shared" ref="AK45:AO45" si="154">IF($D45="Full Time",8,"")</f>
        <v>8</v>
      </c>
      <c r="AL45" s="20">
        <f t="shared" si="154"/>
        <v>8</v>
      </c>
      <c r="AM45" s="20">
        <f t="shared" si="154"/>
        <v>8</v>
      </c>
      <c r="AN45" s="20">
        <f t="shared" si="154"/>
        <v>8</v>
      </c>
      <c r="AO45" s="20">
        <f t="shared" si="154"/>
        <v>8</v>
      </c>
      <c r="AP45" s="22" t="b">
        <v>1</v>
      </c>
      <c r="AQ45" s="21"/>
      <c r="AR45" s="21"/>
    </row>
    <row r="46" ht="22.5" customHeight="1">
      <c r="A46" s="25" t="s">
        <v>113</v>
      </c>
      <c r="B46" s="25" t="s">
        <v>114</v>
      </c>
      <c r="C46" s="26" t="s">
        <v>55</v>
      </c>
      <c r="D46" s="23" t="s">
        <v>49</v>
      </c>
      <c r="E46" s="16" t="s">
        <v>57</v>
      </c>
      <c r="F46" s="17" t="str">
        <f t="shared" si="1"/>
        <v>Kathy</v>
      </c>
      <c r="G46" s="18">
        <f t="shared" si="148"/>
        <v>80</v>
      </c>
      <c r="H46" s="17">
        <f t="shared" si="149"/>
        <v>10</v>
      </c>
      <c r="I46" s="17"/>
      <c r="J46" s="17"/>
      <c r="K46" s="24"/>
      <c r="L46" s="24"/>
      <c r="M46" s="20">
        <v>4.0</v>
      </c>
      <c r="N46" s="20">
        <v>4.0</v>
      </c>
      <c r="O46" s="18" t="b">
        <v>1</v>
      </c>
      <c r="P46" s="20">
        <v>4.0</v>
      </c>
      <c r="Q46" s="20">
        <v>4.0</v>
      </c>
      <c r="R46" s="20">
        <v>4.0</v>
      </c>
      <c r="S46" s="21"/>
      <c r="T46" s="21"/>
      <c r="U46" s="20">
        <v>4.0</v>
      </c>
      <c r="V46" s="20">
        <v>4.0</v>
      </c>
      <c r="W46" s="20">
        <v>4.0</v>
      </c>
      <c r="X46" s="20">
        <v>4.0</v>
      </c>
      <c r="Y46" s="20">
        <v>4.0</v>
      </c>
      <c r="Z46" s="22" t="b">
        <v>1</v>
      </c>
      <c r="AA46" s="21"/>
      <c r="AB46" s="21"/>
      <c r="AC46" s="33">
        <v>4.0</v>
      </c>
      <c r="AD46" s="33">
        <v>4.0</v>
      </c>
      <c r="AE46" s="33">
        <v>4.0</v>
      </c>
      <c r="AF46" s="33">
        <v>4.0</v>
      </c>
      <c r="AG46" s="33">
        <v>4.0</v>
      </c>
      <c r="AH46" s="22" t="b">
        <v>1</v>
      </c>
      <c r="AI46" s="21"/>
      <c r="AJ46" s="21"/>
      <c r="AK46" s="33">
        <v>4.0</v>
      </c>
      <c r="AL46" s="33">
        <v>4.0</v>
      </c>
      <c r="AM46" s="33">
        <v>4.0</v>
      </c>
      <c r="AN46" s="33">
        <v>4.0</v>
      </c>
      <c r="AO46" s="33">
        <v>4.0</v>
      </c>
      <c r="AP46" s="22" t="b">
        <v>1</v>
      </c>
      <c r="AQ46" s="21"/>
      <c r="AR46" s="21"/>
    </row>
    <row r="47" ht="22.5" customHeight="1">
      <c r="A47" s="25" t="s">
        <v>135</v>
      </c>
      <c r="B47" s="25" t="s">
        <v>136</v>
      </c>
      <c r="C47" s="26" t="s">
        <v>55</v>
      </c>
      <c r="D47" s="15" t="s">
        <v>56</v>
      </c>
      <c r="E47" s="16" t="s">
        <v>57</v>
      </c>
      <c r="F47" s="17" t="str">
        <f t="shared" si="1"/>
        <v>Kathy</v>
      </c>
      <c r="G47" s="18">
        <f t="shared" si="148"/>
        <v>160</v>
      </c>
      <c r="H47" s="17">
        <f t="shared" si="149"/>
        <v>20</v>
      </c>
      <c r="I47" s="17"/>
      <c r="J47" s="17"/>
      <c r="K47" s="24"/>
      <c r="L47" s="24"/>
      <c r="M47" s="20">
        <f t="shared" ref="M47:N47" si="155">IF($D47="Full Time",8,"")</f>
        <v>8</v>
      </c>
      <c r="N47" s="20">
        <f t="shared" si="155"/>
        <v>8</v>
      </c>
      <c r="O47" s="18" t="b">
        <v>1</v>
      </c>
      <c r="P47" s="20">
        <f t="shared" ref="P47:R47" si="156">IF($D47="Full Time",8,"")</f>
        <v>8</v>
      </c>
      <c r="Q47" s="20">
        <f t="shared" si="156"/>
        <v>8</v>
      </c>
      <c r="R47" s="20">
        <f t="shared" si="156"/>
        <v>8</v>
      </c>
      <c r="S47" s="21"/>
      <c r="T47" s="21"/>
      <c r="U47" s="20">
        <f t="shared" ref="U47:Y47" si="157">IF($D47="Full Time",8,"")</f>
        <v>8</v>
      </c>
      <c r="V47" s="20">
        <f t="shared" si="157"/>
        <v>8</v>
      </c>
      <c r="W47" s="20">
        <f t="shared" si="157"/>
        <v>8</v>
      </c>
      <c r="X47" s="20">
        <f t="shared" si="157"/>
        <v>8</v>
      </c>
      <c r="Y47" s="20">
        <f t="shared" si="157"/>
        <v>8</v>
      </c>
      <c r="Z47" s="22" t="b">
        <v>1</v>
      </c>
      <c r="AA47" s="21"/>
      <c r="AB47" s="21"/>
      <c r="AC47" s="20">
        <f t="shared" ref="AC47:AG47" si="158">IF($D47="Full Time",8,"")</f>
        <v>8</v>
      </c>
      <c r="AD47" s="20">
        <f t="shared" si="158"/>
        <v>8</v>
      </c>
      <c r="AE47" s="20">
        <f t="shared" si="158"/>
        <v>8</v>
      </c>
      <c r="AF47" s="20">
        <f t="shared" si="158"/>
        <v>8</v>
      </c>
      <c r="AG47" s="20">
        <f t="shared" si="158"/>
        <v>8</v>
      </c>
      <c r="AH47" s="22" t="b">
        <v>1</v>
      </c>
      <c r="AI47" s="21"/>
      <c r="AJ47" s="21"/>
      <c r="AK47" s="20">
        <f t="shared" ref="AK47:AO47" si="159">IF($D47="Full Time",8,"")</f>
        <v>8</v>
      </c>
      <c r="AL47" s="20">
        <f t="shared" si="159"/>
        <v>8</v>
      </c>
      <c r="AM47" s="20">
        <f t="shared" si="159"/>
        <v>8</v>
      </c>
      <c r="AN47" s="20">
        <f t="shared" si="159"/>
        <v>8</v>
      </c>
      <c r="AO47" s="20">
        <f t="shared" si="159"/>
        <v>8</v>
      </c>
      <c r="AP47" s="22" t="b">
        <v>1</v>
      </c>
      <c r="AQ47" s="21"/>
      <c r="AR47" s="21"/>
    </row>
    <row r="48" ht="22.5" customHeight="1">
      <c r="A48" s="25" t="s">
        <v>137</v>
      </c>
      <c r="B48" s="25" t="s">
        <v>138</v>
      </c>
      <c r="C48" s="25" t="s">
        <v>51</v>
      </c>
      <c r="D48" s="15" t="s">
        <v>56</v>
      </c>
      <c r="E48" s="16" t="s">
        <v>50</v>
      </c>
      <c r="F48" s="17" t="str">
        <f t="shared" si="1"/>
        <v>Arabelle</v>
      </c>
      <c r="G48" s="18">
        <f t="shared" si="148"/>
        <v>160</v>
      </c>
      <c r="H48" s="17">
        <f t="shared" si="149"/>
        <v>20</v>
      </c>
      <c r="I48" s="17"/>
      <c r="J48" s="17"/>
      <c r="K48" s="24"/>
      <c r="L48" s="24"/>
      <c r="M48" s="20">
        <f t="shared" ref="M48:N48" si="160">IF($D48="Full Time",8,"")</f>
        <v>8</v>
      </c>
      <c r="N48" s="20">
        <f t="shared" si="160"/>
        <v>8</v>
      </c>
      <c r="O48" s="18" t="b">
        <v>1</v>
      </c>
      <c r="P48" s="20">
        <f t="shared" ref="P48:R48" si="161">IF($D48="Full Time",8,"")</f>
        <v>8</v>
      </c>
      <c r="Q48" s="20">
        <f t="shared" si="161"/>
        <v>8</v>
      </c>
      <c r="R48" s="20">
        <f t="shared" si="161"/>
        <v>8</v>
      </c>
      <c r="S48" s="21"/>
      <c r="T48" s="21"/>
      <c r="U48" s="20">
        <f t="shared" ref="U48:Y48" si="162">IF($D48="Full Time",8,"")</f>
        <v>8</v>
      </c>
      <c r="V48" s="20">
        <f t="shared" si="162"/>
        <v>8</v>
      </c>
      <c r="W48" s="20">
        <f t="shared" si="162"/>
        <v>8</v>
      </c>
      <c r="X48" s="20">
        <f t="shared" si="162"/>
        <v>8</v>
      </c>
      <c r="Y48" s="20">
        <f t="shared" si="162"/>
        <v>8</v>
      </c>
      <c r="Z48" s="22" t="b">
        <v>1</v>
      </c>
      <c r="AA48" s="21"/>
      <c r="AB48" s="21"/>
      <c r="AC48" s="20">
        <f t="shared" ref="AC48:AG48" si="163">IF($D48="Full Time",8,"")</f>
        <v>8</v>
      </c>
      <c r="AD48" s="20">
        <f t="shared" si="163"/>
        <v>8</v>
      </c>
      <c r="AE48" s="20">
        <f t="shared" si="163"/>
        <v>8</v>
      </c>
      <c r="AF48" s="20">
        <f t="shared" si="163"/>
        <v>8</v>
      </c>
      <c r="AG48" s="20">
        <f t="shared" si="163"/>
        <v>8</v>
      </c>
      <c r="AH48" s="22" t="b">
        <v>1</v>
      </c>
      <c r="AI48" s="21"/>
      <c r="AJ48" s="21"/>
      <c r="AK48" s="20">
        <f t="shared" ref="AK48:AO48" si="164">IF($D48="Full Time",8,"")</f>
        <v>8</v>
      </c>
      <c r="AL48" s="20">
        <f t="shared" si="164"/>
        <v>8</v>
      </c>
      <c r="AM48" s="20">
        <f t="shared" si="164"/>
        <v>8</v>
      </c>
      <c r="AN48" s="20">
        <f t="shared" si="164"/>
        <v>8</v>
      </c>
      <c r="AO48" s="20">
        <f t="shared" si="164"/>
        <v>8</v>
      </c>
      <c r="AP48" s="22" t="b">
        <v>1</v>
      </c>
      <c r="AQ48" s="21"/>
      <c r="AR48" s="21"/>
    </row>
    <row r="49" ht="22.5" customHeight="1">
      <c r="A49" s="25" t="s">
        <v>139</v>
      </c>
      <c r="B49" s="25" t="s">
        <v>140</v>
      </c>
      <c r="C49" s="26" t="s">
        <v>55</v>
      </c>
      <c r="D49" s="15" t="s">
        <v>56</v>
      </c>
      <c r="E49" s="16" t="s">
        <v>57</v>
      </c>
      <c r="F49" s="17" t="str">
        <f t="shared" si="1"/>
        <v>Kathy</v>
      </c>
      <c r="G49" s="18">
        <f t="shared" si="148"/>
        <v>160</v>
      </c>
      <c r="H49" s="17">
        <f t="shared" si="149"/>
        <v>20</v>
      </c>
      <c r="I49" s="17"/>
      <c r="J49" s="17"/>
      <c r="K49" s="24"/>
      <c r="L49" s="24"/>
      <c r="M49" s="20">
        <f t="shared" ref="M49:N49" si="165">IF($D49="Full Time",8,"")</f>
        <v>8</v>
      </c>
      <c r="N49" s="20">
        <f t="shared" si="165"/>
        <v>8</v>
      </c>
      <c r="O49" s="18" t="b">
        <v>1</v>
      </c>
      <c r="P49" s="20">
        <f t="shared" ref="P49:R49" si="166">IF($D49="Full Time",8,"")</f>
        <v>8</v>
      </c>
      <c r="Q49" s="20">
        <f t="shared" si="166"/>
        <v>8</v>
      </c>
      <c r="R49" s="20">
        <f t="shared" si="166"/>
        <v>8</v>
      </c>
      <c r="S49" s="21"/>
      <c r="T49" s="21"/>
      <c r="U49" s="20">
        <f t="shared" ref="U49:Y49" si="167">IF($D49="Full Time",8,"")</f>
        <v>8</v>
      </c>
      <c r="V49" s="20">
        <f t="shared" si="167"/>
        <v>8</v>
      </c>
      <c r="W49" s="20">
        <f t="shared" si="167"/>
        <v>8</v>
      </c>
      <c r="X49" s="20">
        <f t="shared" si="167"/>
        <v>8</v>
      </c>
      <c r="Y49" s="20">
        <f t="shared" si="167"/>
        <v>8</v>
      </c>
      <c r="Z49" s="22" t="b">
        <v>1</v>
      </c>
      <c r="AA49" s="21"/>
      <c r="AB49" s="21"/>
      <c r="AC49" s="20">
        <f t="shared" ref="AC49:AG49" si="168">IF($D49="Full Time",8,"")</f>
        <v>8</v>
      </c>
      <c r="AD49" s="20">
        <f t="shared" si="168"/>
        <v>8</v>
      </c>
      <c r="AE49" s="20">
        <f t="shared" si="168"/>
        <v>8</v>
      </c>
      <c r="AF49" s="20">
        <f t="shared" si="168"/>
        <v>8</v>
      </c>
      <c r="AG49" s="20">
        <f t="shared" si="168"/>
        <v>8</v>
      </c>
      <c r="AH49" s="22" t="b">
        <v>1</v>
      </c>
      <c r="AI49" s="21"/>
      <c r="AJ49" s="21"/>
      <c r="AK49" s="20">
        <f t="shared" ref="AK49:AO49" si="169">IF($D49="Full Time",8,"")</f>
        <v>8</v>
      </c>
      <c r="AL49" s="20">
        <f t="shared" si="169"/>
        <v>8</v>
      </c>
      <c r="AM49" s="20">
        <f t="shared" si="169"/>
        <v>8</v>
      </c>
      <c r="AN49" s="20">
        <f t="shared" si="169"/>
        <v>8</v>
      </c>
      <c r="AO49" s="20">
        <f t="shared" si="169"/>
        <v>8</v>
      </c>
      <c r="AP49" s="22" t="b">
        <v>1</v>
      </c>
      <c r="AQ49" s="21"/>
      <c r="AR49" s="21"/>
    </row>
    <row r="50" ht="22.5" customHeight="1">
      <c r="A50" s="25" t="s">
        <v>141</v>
      </c>
      <c r="B50" s="25" t="s">
        <v>142</v>
      </c>
      <c r="C50" s="26" t="s">
        <v>74</v>
      </c>
      <c r="D50" s="15" t="s">
        <v>56</v>
      </c>
      <c r="E50" s="16" t="s">
        <v>57</v>
      </c>
      <c r="F50" s="17" t="str">
        <f t="shared" si="1"/>
        <v>Kathy</v>
      </c>
      <c r="G50" s="18">
        <f t="shared" si="148"/>
        <v>160</v>
      </c>
      <c r="H50" s="17">
        <f t="shared" si="149"/>
        <v>20</v>
      </c>
      <c r="I50" s="17"/>
      <c r="J50" s="17"/>
      <c r="K50" s="24"/>
      <c r="L50" s="24"/>
      <c r="M50" s="20">
        <f t="shared" ref="M50:N50" si="170">IF($D50="Full Time",8,"")</f>
        <v>8</v>
      </c>
      <c r="N50" s="20">
        <f t="shared" si="170"/>
        <v>8</v>
      </c>
      <c r="O50" s="18" t="b">
        <v>1</v>
      </c>
      <c r="P50" s="20">
        <f t="shared" ref="P50:R50" si="171">IF($D50="Full Time",8,"")</f>
        <v>8</v>
      </c>
      <c r="Q50" s="20">
        <f t="shared" si="171"/>
        <v>8</v>
      </c>
      <c r="R50" s="20">
        <f t="shared" si="171"/>
        <v>8</v>
      </c>
      <c r="S50" s="21"/>
      <c r="T50" s="21"/>
      <c r="U50" s="20">
        <f t="shared" ref="U50:Y50" si="172">IF($D50="Full Time",8,"")</f>
        <v>8</v>
      </c>
      <c r="V50" s="20">
        <f t="shared" si="172"/>
        <v>8</v>
      </c>
      <c r="W50" s="20">
        <f t="shared" si="172"/>
        <v>8</v>
      </c>
      <c r="X50" s="20">
        <f t="shared" si="172"/>
        <v>8</v>
      </c>
      <c r="Y50" s="20">
        <f t="shared" si="172"/>
        <v>8</v>
      </c>
      <c r="Z50" s="22" t="b">
        <v>1</v>
      </c>
      <c r="AA50" s="21"/>
      <c r="AB50" s="21"/>
      <c r="AC50" s="20">
        <f t="shared" ref="AC50:AG50" si="173">IF($D50="Full Time",8,"")</f>
        <v>8</v>
      </c>
      <c r="AD50" s="20">
        <f t="shared" si="173"/>
        <v>8</v>
      </c>
      <c r="AE50" s="20">
        <f t="shared" si="173"/>
        <v>8</v>
      </c>
      <c r="AF50" s="20">
        <f t="shared" si="173"/>
        <v>8</v>
      </c>
      <c r="AG50" s="20">
        <f t="shared" si="173"/>
        <v>8</v>
      </c>
      <c r="AH50" s="22" t="b">
        <v>1</v>
      </c>
      <c r="AI50" s="21"/>
      <c r="AJ50" s="21"/>
      <c r="AK50" s="20">
        <f t="shared" ref="AK50:AO50" si="174">IF($D50="Full Time",8,"")</f>
        <v>8</v>
      </c>
      <c r="AL50" s="20">
        <f t="shared" si="174"/>
        <v>8</v>
      </c>
      <c r="AM50" s="20">
        <f t="shared" si="174"/>
        <v>8</v>
      </c>
      <c r="AN50" s="20">
        <f t="shared" si="174"/>
        <v>8</v>
      </c>
      <c r="AO50" s="20">
        <f t="shared" si="174"/>
        <v>8</v>
      </c>
      <c r="AP50" s="22" t="b">
        <v>1</v>
      </c>
      <c r="AQ50" s="21"/>
      <c r="AR50" s="21"/>
    </row>
    <row r="51" ht="22.5" customHeight="1">
      <c r="A51" s="25" t="s">
        <v>143</v>
      </c>
      <c r="B51" s="25" t="s">
        <v>144</v>
      </c>
      <c r="C51" s="26" t="s">
        <v>55</v>
      </c>
      <c r="D51" s="15" t="s">
        <v>56</v>
      </c>
      <c r="E51" s="16" t="s">
        <v>57</v>
      </c>
      <c r="F51" s="17" t="str">
        <f t="shared" si="1"/>
        <v>Kathy</v>
      </c>
      <c r="G51" s="18">
        <f t="shared" si="148"/>
        <v>160</v>
      </c>
      <c r="H51" s="17">
        <f t="shared" si="149"/>
        <v>20</v>
      </c>
      <c r="I51" s="17"/>
      <c r="J51" s="17"/>
      <c r="K51" s="24"/>
      <c r="L51" s="24"/>
      <c r="M51" s="20">
        <f t="shared" ref="M51:N51" si="175">IF($D51="Full Time",8,"")</f>
        <v>8</v>
      </c>
      <c r="N51" s="20">
        <f t="shared" si="175"/>
        <v>8</v>
      </c>
      <c r="O51" s="18" t="b">
        <v>1</v>
      </c>
      <c r="P51" s="20">
        <f t="shared" ref="P51:R51" si="176">IF($D51="Full Time",8,"")</f>
        <v>8</v>
      </c>
      <c r="Q51" s="20">
        <f t="shared" si="176"/>
        <v>8</v>
      </c>
      <c r="R51" s="20">
        <f t="shared" si="176"/>
        <v>8</v>
      </c>
      <c r="S51" s="21"/>
      <c r="T51" s="21"/>
      <c r="U51" s="20">
        <f t="shared" ref="U51:Y51" si="177">IF($D51="Full Time",8,"")</f>
        <v>8</v>
      </c>
      <c r="V51" s="20">
        <f t="shared" si="177"/>
        <v>8</v>
      </c>
      <c r="W51" s="20">
        <f t="shared" si="177"/>
        <v>8</v>
      </c>
      <c r="X51" s="20">
        <f t="shared" si="177"/>
        <v>8</v>
      </c>
      <c r="Y51" s="20">
        <f t="shared" si="177"/>
        <v>8</v>
      </c>
      <c r="Z51" s="22" t="b">
        <v>1</v>
      </c>
      <c r="AA51" s="21"/>
      <c r="AB51" s="21"/>
      <c r="AC51" s="20">
        <f t="shared" ref="AC51:AG51" si="178">IF($D51="Full Time",8,"")</f>
        <v>8</v>
      </c>
      <c r="AD51" s="20">
        <f t="shared" si="178"/>
        <v>8</v>
      </c>
      <c r="AE51" s="20">
        <f t="shared" si="178"/>
        <v>8</v>
      </c>
      <c r="AF51" s="20">
        <f t="shared" si="178"/>
        <v>8</v>
      </c>
      <c r="AG51" s="20">
        <f t="shared" si="178"/>
        <v>8</v>
      </c>
      <c r="AH51" s="22" t="b">
        <v>1</v>
      </c>
      <c r="AI51" s="21"/>
      <c r="AJ51" s="21"/>
      <c r="AK51" s="20">
        <f t="shared" ref="AK51:AO51" si="179">IF($D51="Full Time",8,"")</f>
        <v>8</v>
      </c>
      <c r="AL51" s="20">
        <f t="shared" si="179"/>
        <v>8</v>
      </c>
      <c r="AM51" s="20">
        <f t="shared" si="179"/>
        <v>8</v>
      </c>
      <c r="AN51" s="20">
        <f t="shared" si="179"/>
        <v>8</v>
      </c>
      <c r="AO51" s="20">
        <f t="shared" si="179"/>
        <v>8</v>
      </c>
      <c r="AP51" s="22" t="b">
        <v>1</v>
      </c>
      <c r="AQ51" s="21"/>
      <c r="AR51" s="21"/>
    </row>
    <row r="52" ht="22.5" customHeight="1">
      <c r="A52" s="25" t="s">
        <v>145</v>
      </c>
      <c r="B52" s="25" t="s">
        <v>146</v>
      </c>
      <c r="C52" s="26" t="s">
        <v>60</v>
      </c>
      <c r="D52" s="15" t="s">
        <v>56</v>
      </c>
      <c r="E52" s="16" t="s">
        <v>57</v>
      </c>
      <c r="F52" s="17" t="str">
        <f t="shared" si="1"/>
        <v>Nicholas</v>
      </c>
      <c r="G52" s="18">
        <f t="shared" si="148"/>
        <v>160</v>
      </c>
      <c r="H52" s="17">
        <f t="shared" si="149"/>
        <v>20</v>
      </c>
      <c r="I52" s="17"/>
      <c r="J52" s="17"/>
      <c r="K52" s="24"/>
      <c r="L52" s="24"/>
      <c r="M52" s="20">
        <f t="shared" ref="M52:N52" si="180">IF($D52="Full Time",8,"")</f>
        <v>8</v>
      </c>
      <c r="N52" s="20">
        <f t="shared" si="180"/>
        <v>8</v>
      </c>
      <c r="O52" s="18" t="b">
        <v>1</v>
      </c>
      <c r="P52" s="20">
        <f t="shared" ref="P52:R52" si="181">IF($D52="Full Time",8,"")</f>
        <v>8</v>
      </c>
      <c r="Q52" s="20">
        <f t="shared" si="181"/>
        <v>8</v>
      </c>
      <c r="R52" s="20">
        <f t="shared" si="181"/>
        <v>8</v>
      </c>
      <c r="S52" s="21"/>
      <c r="T52" s="21"/>
      <c r="U52" s="20">
        <f t="shared" ref="U52:Y52" si="182">IF($D52="Full Time",8,"")</f>
        <v>8</v>
      </c>
      <c r="V52" s="20">
        <f t="shared" si="182"/>
        <v>8</v>
      </c>
      <c r="W52" s="20">
        <f t="shared" si="182"/>
        <v>8</v>
      </c>
      <c r="X52" s="20">
        <f t="shared" si="182"/>
        <v>8</v>
      </c>
      <c r="Y52" s="20">
        <f t="shared" si="182"/>
        <v>8</v>
      </c>
      <c r="Z52" s="22" t="b">
        <v>1</v>
      </c>
      <c r="AA52" s="21"/>
      <c r="AB52" s="21"/>
      <c r="AC52" s="20">
        <f t="shared" ref="AC52:AG52" si="183">IF($D52="Full Time",8,"")</f>
        <v>8</v>
      </c>
      <c r="AD52" s="20">
        <f t="shared" si="183"/>
        <v>8</v>
      </c>
      <c r="AE52" s="20">
        <f t="shared" si="183"/>
        <v>8</v>
      </c>
      <c r="AF52" s="20">
        <f t="shared" si="183"/>
        <v>8</v>
      </c>
      <c r="AG52" s="20">
        <f t="shared" si="183"/>
        <v>8</v>
      </c>
      <c r="AH52" s="22" t="b">
        <v>1</v>
      </c>
      <c r="AI52" s="21"/>
      <c r="AJ52" s="21"/>
      <c r="AK52" s="20">
        <f t="shared" ref="AK52:AO52" si="184">IF($D52="Full Time",8,"")</f>
        <v>8</v>
      </c>
      <c r="AL52" s="20">
        <f t="shared" si="184"/>
        <v>8</v>
      </c>
      <c r="AM52" s="20">
        <f t="shared" si="184"/>
        <v>8</v>
      </c>
      <c r="AN52" s="20">
        <f t="shared" si="184"/>
        <v>8</v>
      </c>
      <c r="AO52" s="20">
        <f t="shared" si="184"/>
        <v>8</v>
      </c>
      <c r="AP52" s="22" t="b">
        <v>1</v>
      </c>
      <c r="AQ52" s="21"/>
      <c r="AR52" s="21"/>
    </row>
    <row r="53" ht="22.5" customHeight="1">
      <c r="A53" s="25" t="s">
        <v>147</v>
      </c>
      <c r="B53" s="25" t="s">
        <v>148</v>
      </c>
      <c r="C53" s="26" t="s">
        <v>52</v>
      </c>
      <c r="D53" s="15" t="s">
        <v>56</v>
      </c>
      <c r="E53" s="16" t="s">
        <v>50</v>
      </c>
      <c r="F53" s="17" t="str">
        <f t="shared" si="1"/>
        <v>Nicholas</v>
      </c>
      <c r="G53" s="18">
        <f t="shared" si="148"/>
        <v>160</v>
      </c>
      <c r="H53" s="17">
        <f t="shared" si="149"/>
        <v>20</v>
      </c>
      <c r="I53" s="17"/>
      <c r="J53" s="17"/>
      <c r="K53" s="24"/>
      <c r="L53" s="24"/>
      <c r="M53" s="20">
        <f t="shared" ref="M53:N53" si="185">IF($D53="Full Time",8,"")</f>
        <v>8</v>
      </c>
      <c r="N53" s="20">
        <f t="shared" si="185"/>
        <v>8</v>
      </c>
      <c r="O53" s="18" t="b">
        <v>1</v>
      </c>
      <c r="P53" s="20">
        <f t="shared" ref="P53:R53" si="186">IF($D53="Full Time",8,"")</f>
        <v>8</v>
      </c>
      <c r="Q53" s="20">
        <f t="shared" si="186"/>
        <v>8</v>
      </c>
      <c r="R53" s="20">
        <f t="shared" si="186"/>
        <v>8</v>
      </c>
      <c r="S53" s="21"/>
      <c r="T53" s="21"/>
      <c r="U53" s="20">
        <f t="shared" ref="U53:Y53" si="187">IF($D53="Full Time",8,"")</f>
        <v>8</v>
      </c>
      <c r="V53" s="20">
        <f t="shared" si="187"/>
        <v>8</v>
      </c>
      <c r="W53" s="20">
        <f t="shared" si="187"/>
        <v>8</v>
      </c>
      <c r="X53" s="20">
        <f t="shared" si="187"/>
        <v>8</v>
      </c>
      <c r="Y53" s="20">
        <f t="shared" si="187"/>
        <v>8</v>
      </c>
      <c r="Z53" s="22" t="b">
        <v>1</v>
      </c>
      <c r="AA53" s="21"/>
      <c r="AB53" s="21"/>
      <c r="AC53" s="20">
        <f t="shared" ref="AC53:AG53" si="188">IF($D53="Full Time",8,"")</f>
        <v>8</v>
      </c>
      <c r="AD53" s="20">
        <f t="shared" si="188"/>
        <v>8</v>
      </c>
      <c r="AE53" s="20">
        <f t="shared" si="188"/>
        <v>8</v>
      </c>
      <c r="AF53" s="20">
        <f t="shared" si="188"/>
        <v>8</v>
      </c>
      <c r="AG53" s="20">
        <f t="shared" si="188"/>
        <v>8</v>
      </c>
      <c r="AH53" s="22" t="b">
        <v>1</v>
      </c>
      <c r="AI53" s="21"/>
      <c r="AJ53" s="21"/>
      <c r="AK53" s="20">
        <f t="shared" ref="AK53:AO53" si="189">IF($D53="Full Time",8,"")</f>
        <v>8</v>
      </c>
      <c r="AL53" s="20">
        <f t="shared" si="189"/>
        <v>8</v>
      </c>
      <c r="AM53" s="20">
        <f t="shared" si="189"/>
        <v>8</v>
      </c>
      <c r="AN53" s="20">
        <f t="shared" si="189"/>
        <v>8</v>
      </c>
      <c r="AO53" s="20">
        <f t="shared" si="189"/>
        <v>8</v>
      </c>
      <c r="AP53" s="22" t="b">
        <v>1</v>
      </c>
      <c r="AQ53" s="21"/>
      <c r="AR53" s="21"/>
    </row>
    <row r="54" ht="22.5" customHeight="1">
      <c r="A54" s="25" t="s">
        <v>149</v>
      </c>
      <c r="B54" s="25" t="s">
        <v>150</v>
      </c>
      <c r="C54" s="26" t="s">
        <v>63</v>
      </c>
      <c r="D54" s="15" t="s">
        <v>56</v>
      </c>
      <c r="E54" s="32"/>
      <c r="F54" s="17" t="str">
        <f t="shared" si="1"/>
        <v>Ean</v>
      </c>
      <c r="G54" s="18">
        <f t="shared" si="148"/>
        <v>160</v>
      </c>
      <c r="H54" s="17">
        <f t="shared" si="149"/>
        <v>20</v>
      </c>
      <c r="I54" s="17"/>
      <c r="J54" s="17"/>
      <c r="K54" s="24"/>
      <c r="L54" s="24"/>
      <c r="M54" s="20">
        <f t="shared" ref="M54:N54" si="190">IF($D54="Full Time",8,"")</f>
        <v>8</v>
      </c>
      <c r="N54" s="20">
        <f t="shared" si="190"/>
        <v>8</v>
      </c>
      <c r="O54" s="18" t="b">
        <v>1</v>
      </c>
      <c r="P54" s="20">
        <f t="shared" ref="P54:R54" si="191">IF($D54="Full Time",8,"")</f>
        <v>8</v>
      </c>
      <c r="Q54" s="20">
        <f t="shared" si="191"/>
        <v>8</v>
      </c>
      <c r="R54" s="20">
        <f t="shared" si="191"/>
        <v>8</v>
      </c>
      <c r="S54" s="21"/>
      <c r="T54" s="21"/>
      <c r="U54" s="20">
        <f t="shared" ref="U54:Y54" si="192">IF($D54="Full Time",8,"")</f>
        <v>8</v>
      </c>
      <c r="V54" s="20">
        <f t="shared" si="192"/>
        <v>8</v>
      </c>
      <c r="W54" s="20">
        <f t="shared" si="192"/>
        <v>8</v>
      </c>
      <c r="X54" s="20">
        <f t="shared" si="192"/>
        <v>8</v>
      </c>
      <c r="Y54" s="20">
        <f t="shared" si="192"/>
        <v>8</v>
      </c>
      <c r="Z54" s="22" t="b">
        <v>1</v>
      </c>
      <c r="AA54" s="21"/>
      <c r="AB54" s="21"/>
      <c r="AC54" s="20">
        <f t="shared" ref="AC54:AG54" si="193">IF($D54="Full Time",8,"")</f>
        <v>8</v>
      </c>
      <c r="AD54" s="20">
        <f t="shared" si="193"/>
        <v>8</v>
      </c>
      <c r="AE54" s="20">
        <f t="shared" si="193"/>
        <v>8</v>
      </c>
      <c r="AF54" s="20">
        <f t="shared" si="193"/>
        <v>8</v>
      </c>
      <c r="AG54" s="20">
        <f t="shared" si="193"/>
        <v>8</v>
      </c>
      <c r="AH54" s="22" t="b">
        <v>1</v>
      </c>
      <c r="AI54" s="21"/>
      <c r="AJ54" s="21"/>
      <c r="AK54" s="20">
        <f t="shared" ref="AK54:AO54" si="194">IF($D54="Full Time",8,"")</f>
        <v>8</v>
      </c>
      <c r="AL54" s="20">
        <f t="shared" si="194"/>
        <v>8</v>
      </c>
      <c r="AM54" s="20">
        <f t="shared" si="194"/>
        <v>8</v>
      </c>
      <c r="AN54" s="20">
        <f t="shared" si="194"/>
        <v>8</v>
      </c>
      <c r="AO54" s="20">
        <f t="shared" si="194"/>
        <v>8</v>
      </c>
      <c r="AP54" s="22" t="b">
        <v>1</v>
      </c>
      <c r="AQ54" s="21"/>
      <c r="AR54" s="21"/>
    </row>
    <row r="55" ht="22.5" customHeight="1">
      <c r="A55" s="25" t="s">
        <v>151</v>
      </c>
      <c r="B55" s="25" t="s">
        <v>152</v>
      </c>
      <c r="C55" s="26" t="s">
        <v>55</v>
      </c>
      <c r="D55" s="15" t="s">
        <v>56</v>
      </c>
      <c r="E55" s="16" t="s">
        <v>57</v>
      </c>
      <c r="F55" s="17" t="str">
        <f t="shared" si="1"/>
        <v>Kathy</v>
      </c>
      <c r="G55" s="18">
        <f t="shared" si="148"/>
        <v>160</v>
      </c>
      <c r="H55" s="17">
        <f t="shared" si="149"/>
        <v>20</v>
      </c>
      <c r="I55" s="17"/>
      <c r="J55" s="17"/>
      <c r="K55" s="24"/>
      <c r="L55" s="24"/>
      <c r="M55" s="20">
        <f t="shared" ref="M55:N55" si="195">IF($D55="Full Time",8,"")</f>
        <v>8</v>
      </c>
      <c r="N55" s="20">
        <f t="shared" si="195"/>
        <v>8</v>
      </c>
      <c r="O55" s="18" t="b">
        <v>1</v>
      </c>
      <c r="P55" s="20">
        <f t="shared" ref="P55:R55" si="196">IF($D55="Full Time",8,"")</f>
        <v>8</v>
      </c>
      <c r="Q55" s="20">
        <f t="shared" si="196"/>
        <v>8</v>
      </c>
      <c r="R55" s="20">
        <f t="shared" si="196"/>
        <v>8</v>
      </c>
      <c r="S55" s="21"/>
      <c r="T55" s="21"/>
      <c r="U55" s="20">
        <f t="shared" ref="U55:Y55" si="197">IF($D55="Full Time",8,"")</f>
        <v>8</v>
      </c>
      <c r="V55" s="20">
        <f t="shared" si="197"/>
        <v>8</v>
      </c>
      <c r="W55" s="20">
        <f t="shared" si="197"/>
        <v>8</v>
      </c>
      <c r="X55" s="20">
        <f t="shared" si="197"/>
        <v>8</v>
      </c>
      <c r="Y55" s="20">
        <f t="shared" si="197"/>
        <v>8</v>
      </c>
      <c r="Z55" s="22" t="b">
        <v>1</v>
      </c>
      <c r="AA55" s="21"/>
      <c r="AB55" s="21"/>
      <c r="AC55" s="20">
        <f t="shared" ref="AC55:AG55" si="198">IF($D55="Full Time",8,"")</f>
        <v>8</v>
      </c>
      <c r="AD55" s="20">
        <f t="shared" si="198"/>
        <v>8</v>
      </c>
      <c r="AE55" s="20">
        <f t="shared" si="198"/>
        <v>8</v>
      </c>
      <c r="AF55" s="20">
        <f t="shared" si="198"/>
        <v>8</v>
      </c>
      <c r="AG55" s="20">
        <f t="shared" si="198"/>
        <v>8</v>
      </c>
      <c r="AH55" s="22" t="b">
        <v>1</v>
      </c>
      <c r="AI55" s="21"/>
      <c r="AJ55" s="21"/>
      <c r="AK55" s="20">
        <f t="shared" ref="AK55:AO55" si="199">IF($D55="Full Time",8,"")</f>
        <v>8</v>
      </c>
      <c r="AL55" s="20">
        <f t="shared" si="199"/>
        <v>8</v>
      </c>
      <c r="AM55" s="20">
        <f t="shared" si="199"/>
        <v>8</v>
      </c>
      <c r="AN55" s="20">
        <f t="shared" si="199"/>
        <v>8</v>
      </c>
      <c r="AO55" s="20">
        <f t="shared" si="199"/>
        <v>8</v>
      </c>
      <c r="AP55" s="22" t="b">
        <v>1</v>
      </c>
      <c r="AQ55" s="21"/>
      <c r="AR55" s="21"/>
    </row>
    <row r="56" ht="22.5" customHeight="1">
      <c r="A56" s="25" t="s">
        <v>153</v>
      </c>
      <c r="B56" s="25" t="s">
        <v>154</v>
      </c>
      <c r="C56" s="26" t="s">
        <v>74</v>
      </c>
      <c r="D56" s="15" t="s">
        <v>56</v>
      </c>
      <c r="E56" s="16" t="s">
        <v>57</v>
      </c>
      <c r="F56" s="17" t="str">
        <f t="shared" si="1"/>
        <v>Kathy</v>
      </c>
      <c r="G56" s="18">
        <f t="shared" si="148"/>
        <v>160</v>
      </c>
      <c r="H56" s="17">
        <f t="shared" si="149"/>
        <v>20</v>
      </c>
      <c r="I56" s="17"/>
      <c r="J56" s="17"/>
      <c r="K56" s="24"/>
      <c r="L56" s="24"/>
      <c r="M56" s="20">
        <f t="shared" ref="M56:N56" si="200">IF($D56="Full Time",8,"")</f>
        <v>8</v>
      </c>
      <c r="N56" s="20">
        <f t="shared" si="200"/>
        <v>8</v>
      </c>
      <c r="O56" s="18" t="b">
        <v>1</v>
      </c>
      <c r="P56" s="20">
        <f t="shared" ref="P56:R56" si="201">IF($D56="Full Time",8,"")</f>
        <v>8</v>
      </c>
      <c r="Q56" s="20">
        <f t="shared" si="201"/>
        <v>8</v>
      </c>
      <c r="R56" s="20">
        <f t="shared" si="201"/>
        <v>8</v>
      </c>
      <c r="S56" s="21"/>
      <c r="T56" s="21"/>
      <c r="U56" s="20">
        <f t="shared" ref="U56:Y56" si="202">IF($D56="Full Time",8,"")</f>
        <v>8</v>
      </c>
      <c r="V56" s="20">
        <f t="shared" si="202"/>
        <v>8</v>
      </c>
      <c r="W56" s="20">
        <f t="shared" si="202"/>
        <v>8</v>
      </c>
      <c r="X56" s="20">
        <f t="shared" si="202"/>
        <v>8</v>
      </c>
      <c r="Y56" s="20">
        <f t="shared" si="202"/>
        <v>8</v>
      </c>
      <c r="Z56" s="22" t="b">
        <v>1</v>
      </c>
      <c r="AA56" s="21"/>
      <c r="AB56" s="21"/>
      <c r="AC56" s="20">
        <f t="shared" ref="AC56:AG56" si="203">IF($D56="Full Time",8,"")</f>
        <v>8</v>
      </c>
      <c r="AD56" s="20">
        <f t="shared" si="203"/>
        <v>8</v>
      </c>
      <c r="AE56" s="20">
        <f t="shared" si="203"/>
        <v>8</v>
      </c>
      <c r="AF56" s="20">
        <f t="shared" si="203"/>
        <v>8</v>
      </c>
      <c r="AG56" s="20">
        <f t="shared" si="203"/>
        <v>8</v>
      </c>
      <c r="AH56" s="22" t="b">
        <v>1</v>
      </c>
      <c r="AI56" s="21"/>
      <c r="AJ56" s="21"/>
      <c r="AK56" s="20">
        <f t="shared" ref="AK56:AO56" si="204">IF($D56="Full Time",8,"")</f>
        <v>8</v>
      </c>
      <c r="AL56" s="20">
        <f t="shared" si="204"/>
        <v>8</v>
      </c>
      <c r="AM56" s="20">
        <f t="shared" si="204"/>
        <v>8</v>
      </c>
      <c r="AN56" s="20">
        <f t="shared" si="204"/>
        <v>8</v>
      </c>
      <c r="AO56" s="20">
        <f t="shared" si="204"/>
        <v>8</v>
      </c>
      <c r="AP56" s="22" t="b">
        <v>1</v>
      </c>
      <c r="AQ56" s="21"/>
      <c r="AR56" s="21"/>
    </row>
    <row r="57" ht="22.5" customHeight="1">
      <c r="A57" s="25" t="s">
        <v>155</v>
      </c>
      <c r="B57" s="25" t="s">
        <v>156</v>
      </c>
      <c r="C57" s="26" t="s">
        <v>94</v>
      </c>
      <c r="D57" s="15" t="s">
        <v>56</v>
      </c>
      <c r="E57" s="16" t="s">
        <v>57</v>
      </c>
      <c r="F57" s="17" t="str">
        <f t="shared" si="1"/>
        <v>Nicholas</v>
      </c>
      <c r="G57" s="18">
        <f t="shared" si="148"/>
        <v>160</v>
      </c>
      <c r="H57" s="17">
        <f t="shared" si="149"/>
        <v>20</v>
      </c>
      <c r="I57" s="17"/>
      <c r="J57" s="17"/>
      <c r="K57" s="24"/>
      <c r="L57" s="24"/>
      <c r="M57" s="20">
        <f t="shared" ref="M57:N57" si="205">IF($D57="Full Time",8,"")</f>
        <v>8</v>
      </c>
      <c r="N57" s="20">
        <f t="shared" si="205"/>
        <v>8</v>
      </c>
      <c r="O57" s="18" t="b">
        <v>0</v>
      </c>
      <c r="P57" s="20">
        <f t="shared" ref="P57:R57" si="206">IF($D57="Full Time",8,"")</f>
        <v>8</v>
      </c>
      <c r="Q57" s="20">
        <f t="shared" si="206"/>
        <v>8</v>
      </c>
      <c r="R57" s="20">
        <f t="shared" si="206"/>
        <v>8</v>
      </c>
      <c r="S57" s="21"/>
      <c r="T57" s="21"/>
      <c r="U57" s="20">
        <f t="shared" ref="U57:Y57" si="207">IF($D57="Full Time",8,"")</f>
        <v>8</v>
      </c>
      <c r="V57" s="20">
        <f t="shared" si="207"/>
        <v>8</v>
      </c>
      <c r="W57" s="20">
        <f t="shared" si="207"/>
        <v>8</v>
      </c>
      <c r="X57" s="20">
        <f t="shared" si="207"/>
        <v>8</v>
      </c>
      <c r="Y57" s="20">
        <f t="shared" si="207"/>
        <v>8</v>
      </c>
      <c r="Z57" s="22" t="b">
        <v>0</v>
      </c>
      <c r="AA57" s="21"/>
      <c r="AB57" s="21"/>
      <c r="AC57" s="20">
        <f t="shared" ref="AC57:AG57" si="208">IF($D57="Full Time",8,"")</f>
        <v>8</v>
      </c>
      <c r="AD57" s="20">
        <f t="shared" si="208"/>
        <v>8</v>
      </c>
      <c r="AE57" s="20">
        <f t="shared" si="208"/>
        <v>8</v>
      </c>
      <c r="AF57" s="20">
        <f t="shared" si="208"/>
        <v>8</v>
      </c>
      <c r="AG57" s="20">
        <f t="shared" si="208"/>
        <v>8</v>
      </c>
      <c r="AH57" s="34" t="b">
        <v>0</v>
      </c>
      <c r="AI57" s="21"/>
      <c r="AJ57" s="21"/>
      <c r="AK57" s="20">
        <f t="shared" ref="AK57:AO57" si="209">IF($D57="Full Time",8,"")</f>
        <v>8</v>
      </c>
      <c r="AL57" s="20">
        <f t="shared" si="209"/>
        <v>8</v>
      </c>
      <c r="AM57" s="20">
        <f t="shared" si="209"/>
        <v>8</v>
      </c>
      <c r="AN57" s="20">
        <f t="shared" si="209"/>
        <v>8</v>
      </c>
      <c r="AO57" s="20">
        <f t="shared" si="209"/>
        <v>8</v>
      </c>
      <c r="AP57" s="34" t="b">
        <v>0</v>
      </c>
      <c r="AQ57" s="21"/>
      <c r="AR57" s="21"/>
    </row>
    <row r="58" ht="22.5" customHeight="1">
      <c r="A58" s="25" t="s">
        <v>157</v>
      </c>
      <c r="B58" s="25" t="s">
        <v>158</v>
      </c>
      <c r="C58" s="26" t="s">
        <v>51</v>
      </c>
      <c r="D58" s="15" t="s">
        <v>56</v>
      </c>
      <c r="E58" s="16" t="s">
        <v>57</v>
      </c>
      <c r="F58" s="17" t="str">
        <f t="shared" si="1"/>
        <v>Arabelle</v>
      </c>
      <c r="G58" s="18">
        <f t="shared" si="148"/>
        <v>160</v>
      </c>
      <c r="H58" s="17">
        <f t="shared" si="149"/>
        <v>20</v>
      </c>
      <c r="I58" s="17"/>
      <c r="J58" s="17"/>
      <c r="K58" s="24"/>
      <c r="L58" s="24"/>
      <c r="M58" s="20">
        <f t="shared" ref="M58:N58" si="210">IF($D58="Full Time",8,"")</f>
        <v>8</v>
      </c>
      <c r="N58" s="20">
        <f t="shared" si="210"/>
        <v>8</v>
      </c>
      <c r="O58" s="18" t="b">
        <v>1</v>
      </c>
      <c r="P58" s="20">
        <f t="shared" ref="P58:R58" si="211">IF($D58="Full Time",8,"")</f>
        <v>8</v>
      </c>
      <c r="Q58" s="20">
        <f t="shared" si="211"/>
        <v>8</v>
      </c>
      <c r="R58" s="20">
        <f t="shared" si="211"/>
        <v>8</v>
      </c>
      <c r="S58" s="21"/>
      <c r="T58" s="21"/>
      <c r="U58" s="20">
        <f t="shared" ref="U58:Y58" si="212">IF($D58="Full Time",8,"")</f>
        <v>8</v>
      </c>
      <c r="V58" s="20">
        <f t="shared" si="212"/>
        <v>8</v>
      </c>
      <c r="W58" s="20">
        <f t="shared" si="212"/>
        <v>8</v>
      </c>
      <c r="X58" s="20">
        <f t="shared" si="212"/>
        <v>8</v>
      </c>
      <c r="Y58" s="20">
        <f t="shared" si="212"/>
        <v>8</v>
      </c>
      <c r="Z58" s="22" t="b">
        <v>1</v>
      </c>
      <c r="AA58" s="21"/>
      <c r="AB58" s="21"/>
      <c r="AC58" s="20">
        <f t="shared" ref="AC58:AG58" si="213">IF($D58="Full Time",8,"")</f>
        <v>8</v>
      </c>
      <c r="AD58" s="20">
        <f t="shared" si="213"/>
        <v>8</v>
      </c>
      <c r="AE58" s="20">
        <f t="shared" si="213"/>
        <v>8</v>
      </c>
      <c r="AF58" s="20">
        <f t="shared" si="213"/>
        <v>8</v>
      </c>
      <c r="AG58" s="20">
        <f t="shared" si="213"/>
        <v>8</v>
      </c>
      <c r="AH58" s="22" t="b">
        <v>1</v>
      </c>
      <c r="AI58" s="21"/>
      <c r="AJ58" s="21"/>
      <c r="AK58" s="20">
        <f t="shared" ref="AK58:AO58" si="214">IF($D58="Full Time",8,"")</f>
        <v>8</v>
      </c>
      <c r="AL58" s="20">
        <f t="shared" si="214"/>
        <v>8</v>
      </c>
      <c r="AM58" s="20">
        <f t="shared" si="214"/>
        <v>8</v>
      </c>
      <c r="AN58" s="20">
        <f t="shared" si="214"/>
        <v>8</v>
      </c>
      <c r="AO58" s="20">
        <f t="shared" si="214"/>
        <v>8</v>
      </c>
      <c r="AP58" s="22" t="b">
        <v>1</v>
      </c>
      <c r="AQ58" s="21"/>
      <c r="AR58" s="21"/>
    </row>
    <row r="59" ht="22.5" customHeight="1">
      <c r="A59" s="25" t="s">
        <v>159</v>
      </c>
      <c r="B59" s="25" t="s">
        <v>160</v>
      </c>
      <c r="C59" s="26" t="s">
        <v>115</v>
      </c>
      <c r="D59" s="15" t="s">
        <v>56</v>
      </c>
      <c r="E59" s="32"/>
      <c r="F59" s="17" t="str">
        <f t="shared" si="1"/>
        <v>Elena</v>
      </c>
      <c r="G59" s="18">
        <f t="shared" si="148"/>
        <v>120</v>
      </c>
      <c r="H59" s="17">
        <f t="shared" si="149"/>
        <v>15</v>
      </c>
      <c r="I59" s="17"/>
      <c r="J59" s="17"/>
      <c r="K59" s="24"/>
      <c r="L59" s="24"/>
      <c r="M59" s="20">
        <f t="shared" ref="M59:N59" si="215">IF($D59="Full Time",8,"")</f>
        <v>8</v>
      </c>
      <c r="N59" s="20">
        <f t="shared" si="215"/>
        <v>8</v>
      </c>
      <c r="O59" s="18" t="b">
        <v>1</v>
      </c>
      <c r="P59" s="20">
        <f t="shared" ref="P59:R59" si="216">IF($D59="Full Time",8,"")</f>
        <v>8</v>
      </c>
      <c r="Q59" s="20">
        <f t="shared" si="216"/>
        <v>8</v>
      </c>
      <c r="R59" s="20">
        <f t="shared" si="216"/>
        <v>8</v>
      </c>
      <c r="S59" s="21"/>
      <c r="T59" s="21"/>
      <c r="U59" s="20">
        <f t="shared" ref="U59:Y59" si="217">IF($D59="Full Time",8,"")</f>
        <v>8</v>
      </c>
      <c r="V59" s="20">
        <f t="shared" si="217"/>
        <v>8</v>
      </c>
      <c r="W59" s="20">
        <f t="shared" si="217"/>
        <v>8</v>
      </c>
      <c r="X59" s="20">
        <f t="shared" si="217"/>
        <v>8</v>
      </c>
      <c r="Y59" s="20">
        <f t="shared" si="217"/>
        <v>8</v>
      </c>
      <c r="Z59" s="22" t="b">
        <v>1</v>
      </c>
      <c r="AA59" s="21"/>
      <c r="AB59" s="21"/>
      <c r="AC59" s="20">
        <f t="shared" ref="AC59:AG59" si="218">IF($D59="Full Time",8,"")</f>
        <v>8</v>
      </c>
      <c r="AD59" s="20">
        <f t="shared" si="218"/>
        <v>8</v>
      </c>
      <c r="AE59" s="20">
        <f t="shared" si="218"/>
        <v>8</v>
      </c>
      <c r="AF59" s="20">
        <f t="shared" si="218"/>
        <v>8</v>
      </c>
      <c r="AG59" s="20">
        <f t="shared" si="218"/>
        <v>8</v>
      </c>
      <c r="AH59" s="22" t="b">
        <v>1</v>
      </c>
      <c r="AI59" s="21"/>
      <c r="AJ59" s="21"/>
      <c r="AK59" s="20"/>
      <c r="AL59" s="20"/>
      <c r="AM59" s="20"/>
      <c r="AN59" s="20"/>
      <c r="AO59" s="20"/>
      <c r="AP59" s="22" t="b">
        <v>1</v>
      </c>
      <c r="AQ59" s="21"/>
      <c r="AR59" s="21"/>
    </row>
    <row r="60" ht="22.5" customHeight="1">
      <c r="A60" s="25" t="s">
        <v>161</v>
      </c>
      <c r="B60" s="25" t="s">
        <v>162</v>
      </c>
      <c r="C60" s="26" t="s">
        <v>63</v>
      </c>
      <c r="D60" s="15" t="s">
        <v>56</v>
      </c>
      <c r="E60" s="32"/>
      <c r="F60" s="17" t="str">
        <f t="shared" si="1"/>
        <v>Ean</v>
      </c>
      <c r="G60" s="18">
        <f t="shared" si="148"/>
        <v>160</v>
      </c>
      <c r="H60" s="17">
        <f t="shared" si="149"/>
        <v>20</v>
      </c>
      <c r="I60" s="17"/>
      <c r="J60" s="17"/>
      <c r="K60" s="24"/>
      <c r="L60" s="24"/>
      <c r="M60" s="20">
        <f t="shared" ref="M60:N60" si="219">IF($D60="Full Time",8,"")</f>
        <v>8</v>
      </c>
      <c r="N60" s="20">
        <f t="shared" si="219"/>
        <v>8</v>
      </c>
      <c r="O60" s="18" t="b">
        <v>1</v>
      </c>
      <c r="P60" s="20">
        <f t="shared" ref="P60:R60" si="220">IF($D60="Full Time",8,"")</f>
        <v>8</v>
      </c>
      <c r="Q60" s="20">
        <f t="shared" si="220"/>
        <v>8</v>
      </c>
      <c r="R60" s="20">
        <f t="shared" si="220"/>
        <v>8</v>
      </c>
      <c r="S60" s="21"/>
      <c r="T60" s="21"/>
      <c r="U60" s="20">
        <f t="shared" ref="U60:Y60" si="221">IF($D60="Full Time",8,"")</f>
        <v>8</v>
      </c>
      <c r="V60" s="20">
        <f t="shared" si="221"/>
        <v>8</v>
      </c>
      <c r="W60" s="20">
        <f t="shared" si="221"/>
        <v>8</v>
      </c>
      <c r="X60" s="20">
        <f t="shared" si="221"/>
        <v>8</v>
      </c>
      <c r="Y60" s="20">
        <f t="shared" si="221"/>
        <v>8</v>
      </c>
      <c r="Z60" s="22" t="b">
        <v>1</v>
      </c>
      <c r="AA60" s="21"/>
      <c r="AB60" s="21"/>
      <c r="AC60" s="20">
        <f t="shared" ref="AC60:AG60" si="222">IF($D60="Full Time",8,"")</f>
        <v>8</v>
      </c>
      <c r="AD60" s="20">
        <f t="shared" si="222"/>
        <v>8</v>
      </c>
      <c r="AE60" s="20">
        <f t="shared" si="222"/>
        <v>8</v>
      </c>
      <c r="AF60" s="20">
        <f t="shared" si="222"/>
        <v>8</v>
      </c>
      <c r="AG60" s="20">
        <f t="shared" si="222"/>
        <v>8</v>
      </c>
      <c r="AH60" s="22" t="b">
        <v>1</v>
      </c>
      <c r="AI60" s="21"/>
      <c r="AJ60" s="21"/>
      <c r="AK60" s="20">
        <f t="shared" ref="AK60:AO60" si="223">IF($D60="Full Time",8,"")</f>
        <v>8</v>
      </c>
      <c r="AL60" s="20">
        <f t="shared" si="223"/>
        <v>8</v>
      </c>
      <c r="AM60" s="20">
        <f t="shared" si="223"/>
        <v>8</v>
      </c>
      <c r="AN60" s="20">
        <f t="shared" si="223"/>
        <v>8</v>
      </c>
      <c r="AO60" s="20">
        <f t="shared" si="223"/>
        <v>8</v>
      </c>
      <c r="AP60" s="22" t="b">
        <v>1</v>
      </c>
      <c r="AQ60" s="21"/>
      <c r="AR60" s="21"/>
    </row>
    <row r="61" ht="22.5" customHeight="1">
      <c r="A61" s="25" t="s">
        <v>163</v>
      </c>
      <c r="B61" s="25" t="s">
        <v>164</v>
      </c>
      <c r="C61" s="26" t="s">
        <v>51</v>
      </c>
      <c r="D61" s="15" t="s">
        <v>56</v>
      </c>
      <c r="E61" s="16" t="s">
        <v>50</v>
      </c>
      <c r="F61" s="17" t="str">
        <f t="shared" si="1"/>
        <v>Arabelle</v>
      </c>
      <c r="G61" s="18">
        <f t="shared" si="148"/>
        <v>160</v>
      </c>
      <c r="H61" s="17">
        <f t="shared" si="149"/>
        <v>20</v>
      </c>
      <c r="I61" s="17"/>
      <c r="J61" s="17"/>
      <c r="K61" s="24"/>
      <c r="L61" s="24"/>
      <c r="M61" s="20">
        <f t="shared" ref="M61:N61" si="224">IF($D61="Full Time",8,"")</f>
        <v>8</v>
      </c>
      <c r="N61" s="20">
        <f t="shared" si="224"/>
        <v>8</v>
      </c>
      <c r="O61" s="18" t="b">
        <v>1</v>
      </c>
      <c r="P61" s="20">
        <f t="shared" ref="P61:R61" si="225">IF($D61="Full Time",8,"")</f>
        <v>8</v>
      </c>
      <c r="Q61" s="20">
        <f t="shared" si="225"/>
        <v>8</v>
      </c>
      <c r="R61" s="20">
        <f t="shared" si="225"/>
        <v>8</v>
      </c>
      <c r="S61" s="21"/>
      <c r="T61" s="21"/>
      <c r="U61" s="20">
        <f t="shared" ref="U61:Y61" si="226">IF($D61="Full Time",8,"")</f>
        <v>8</v>
      </c>
      <c r="V61" s="20">
        <f t="shared" si="226"/>
        <v>8</v>
      </c>
      <c r="W61" s="20">
        <f t="shared" si="226"/>
        <v>8</v>
      </c>
      <c r="X61" s="20">
        <f t="shared" si="226"/>
        <v>8</v>
      </c>
      <c r="Y61" s="20">
        <f t="shared" si="226"/>
        <v>8</v>
      </c>
      <c r="Z61" s="22" t="b">
        <v>1</v>
      </c>
      <c r="AA61" s="21"/>
      <c r="AB61" s="21"/>
      <c r="AC61" s="20">
        <f t="shared" ref="AC61:AG61" si="227">IF($D61="Full Time",8,"")</f>
        <v>8</v>
      </c>
      <c r="AD61" s="20">
        <f t="shared" si="227"/>
        <v>8</v>
      </c>
      <c r="AE61" s="20">
        <f t="shared" si="227"/>
        <v>8</v>
      </c>
      <c r="AF61" s="20">
        <f t="shared" si="227"/>
        <v>8</v>
      </c>
      <c r="AG61" s="20">
        <f t="shared" si="227"/>
        <v>8</v>
      </c>
      <c r="AH61" s="22" t="b">
        <v>1</v>
      </c>
      <c r="AI61" s="21"/>
      <c r="AJ61" s="21"/>
      <c r="AK61" s="20">
        <f t="shared" ref="AK61:AO61" si="228">IF($D61="Full Time",8,"")</f>
        <v>8</v>
      </c>
      <c r="AL61" s="20">
        <f t="shared" si="228"/>
        <v>8</v>
      </c>
      <c r="AM61" s="20">
        <f t="shared" si="228"/>
        <v>8</v>
      </c>
      <c r="AN61" s="20">
        <f t="shared" si="228"/>
        <v>8</v>
      </c>
      <c r="AO61" s="20">
        <f t="shared" si="228"/>
        <v>8</v>
      </c>
      <c r="AP61" s="22" t="b">
        <v>1</v>
      </c>
      <c r="AQ61" s="21"/>
      <c r="AR61" s="21"/>
    </row>
    <row r="62" ht="22.5" customHeight="1">
      <c r="A62" s="25" t="s">
        <v>165</v>
      </c>
      <c r="B62" s="25" t="s">
        <v>166</v>
      </c>
      <c r="C62" s="26" t="s">
        <v>55</v>
      </c>
      <c r="D62" s="15" t="s">
        <v>56</v>
      </c>
      <c r="E62" s="16" t="s">
        <v>57</v>
      </c>
      <c r="F62" s="17" t="str">
        <f t="shared" si="1"/>
        <v>Kathy</v>
      </c>
      <c r="G62" s="18">
        <f t="shared" si="148"/>
        <v>160</v>
      </c>
      <c r="H62" s="17">
        <f t="shared" si="149"/>
        <v>20</v>
      </c>
      <c r="I62" s="17"/>
      <c r="J62" s="17"/>
      <c r="K62" s="24"/>
      <c r="L62" s="24"/>
      <c r="M62" s="20">
        <f t="shared" ref="M62:N62" si="229">IF($D62="Full Time",8,"")</f>
        <v>8</v>
      </c>
      <c r="N62" s="20">
        <f t="shared" si="229"/>
        <v>8</v>
      </c>
      <c r="O62" s="18" t="b">
        <v>1</v>
      </c>
      <c r="P62" s="20">
        <f t="shared" ref="P62:R62" si="230">IF($D62="Full Time",8,"")</f>
        <v>8</v>
      </c>
      <c r="Q62" s="20">
        <f t="shared" si="230"/>
        <v>8</v>
      </c>
      <c r="R62" s="20">
        <f t="shared" si="230"/>
        <v>8</v>
      </c>
      <c r="S62" s="21"/>
      <c r="T62" s="21"/>
      <c r="U62" s="20">
        <f t="shared" ref="U62:Y62" si="231">IF($D62="Full Time",8,"")</f>
        <v>8</v>
      </c>
      <c r="V62" s="20">
        <f t="shared" si="231"/>
        <v>8</v>
      </c>
      <c r="W62" s="20">
        <f t="shared" si="231"/>
        <v>8</v>
      </c>
      <c r="X62" s="20">
        <f t="shared" si="231"/>
        <v>8</v>
      </c>
      <c r="Y62" s="20">
        <f t="shared" si="231"/>
        <v>8</v>
      </c>
      <c r="Z62" s="22" t="b">
        <v>1</v>
      </c>
      <c r="AA62" s="21"/>
      <c r="AB62" s="21"/>
      <c r="AC62" s="20">
        <f t="shared" ref="AC62:AG62" si="232">IF($D62="Full Time",8,"")</f>
        <v>8</v>
      </c>
      <c r="AD62" s="20">
        <f t="shared" si="232"/>
        <v>8</v>
      </c>
      <c r="AE62" s="20">
        <f t="shared" si="232"/>
        <v>8</v>
      </c>
      <c r="AF62" s="20">
        <f t="shared" si="232"/>
        <v>8</v>
      </c>
      <c r="AG62" s="20">
        <f t="shared" si="232"/>
        <v>8</v>
      </c>
      <c r="AH62" s="22" t="b">
        <v>1</v>
      </c>
      <c r="AI62" s="21"/>
      <c r="AJ62" s="21"/>
      <c r="AK62" s="20">
        <f t="shared" ref="AK62:AO62" si="233">IF($D62="Full Time",8,"")</f>
        <v>8</v>
      </c>
      <c r="AL62" s="20">
        <f t="shared" si="233"/>
        <v>8</v>
      </c>
      <c r="AM62" s="20">
        <f t="shared" si="233"/>
        <v>8</v>
      </c>
      <c r="AN62" s="20">
        <f t="shared" si="233"/>
        <v>8</v>
      </c>
      <c r="AO62" s="20">
        <f t="shared" si="233"/>
        <v>8</v>
      </c>
      <c r="AP62" s="22" t="b">
        <v>1</v>
      </c>
      <c r="AQ62" s="21"/>
      <c r="AR62" s="21"/>
    </row>
    <row r="63" ht="22.5" customHeight="1">
      <c r="A63" s="25" t="s">
        <v>167</v>
      </c>
      <c r="B63" s="25" t="s">
        <v>168</v>
      </c>
      <c r="C63" s="26" t="s">
        <v>60</v>
      </c>
      <c r="D63" s="15" t="s">
        <v>56</v>
      </c>
      <c r="E63" s="16" t="s">
        <v>57</v>
      </c>
      <c r="F63" s="17" t="str">
        <f t="shared" si="1"/>
        <v>Nicholas</v>
      </c>
      <c r="G63" s="18">
        <f t="shared" si="148"/>
        <v>160</v>
      </c>
      <c r="H63" s="17">
        <f t="shared" si="149"/>
        <v>20</v>
      </c>
      <c r="I63" s="17"/>
      <c r="J63" s="17"/>
      <c r="K63" s="24"/>
      <c r="L63" s="24"/>
      <c r="M63" s="20">
        <f t="shared" ref="M63:N63" si="234">IF($D63="Full Time",8,"")</f>
        <v>8</v>
      </c>
      <c r="N63" s="20">
        <f t="shared" si="234"/>
        <v>8</v>
      </c>
      <c r="O63" s="18" t="b">
        <v>0</v>
      </c>
      <c r="P63" s="20">
        <f t="shared" ref="P63:R63" si="235">IF($D63="Full Time",8,"")</f>
        <v>8</v>
      </c>
      <c r="Q63" s="20">
        <f t="shared" si="235"/>
        <v>8</v>
      </c>
      <c r="R63" s="20">
        <f t="shared" si="235"/>
        <v>8</v>
      </c>
      <c r="S63" s="21"/>
      <c r="T63" s="21"/>
      <c r="U63" s="20">
        <f t="shared" ref="U63:Y63" si="236">IF($D63="Full Time",8,"")</f>
        <v>8</v>
      </c>
      <c r="V63" s="20">
        <f t="shared" si="236"/>
        <v>8</v>
      </c>
      <c r="W63" s="20">
        <f t="shared" si="236"/>
        <v>8</v>
      </c>
      <c r="X63" s="20">
        <f t="shared" si="236"/>
        <v>8</v>
      </c>
      <c r="Y63" s="20">
        <f t="shared" si="236"/>
        <v>8</v>
      </c>
      <c r="Z63" s="22" t="b">
        <v>0</v>
      </c>
      <c r="AA63" s="21"/>
      <c r="AB63" s="21"/>
      <c r="AC63" s="20">
        <f t="shared" ref="AC63:AG63" si="237">IF($D63="Full Time",8,"")</f>
        <v>8</v>
      </c>
      <c r="AD63" s="20">
        <f t="shared" si="237"/>
        <v>8</v>
      </c>
      <c r="AE63" s="20">
        <f t="shared" si="237"/>
        <v>8</v>
      </c>
      <c r="AF63" s="20">
        <f t="shared" si="237"/>
        <v>8</v>
      </c>
      <c r="AG63" s="20">
        <f t="shared" si="237"/>
        <v>8</v>
      </c>
      <c r="AH63" s="22" t="b">
        <v>0</v>
      </c>
      <c r="AI63" s="21"/>
      <c r="AJ63" s="21"/>
      <c r="AK63" s="20">
        <f t="shared" ref="AK63:AO63" si="238">IF($D63="Full Time",8,"")</f>
        <v>8</v>
      </c>
      <c r="AL63" s="20">
        <f t="shared" si="238"/>
        <v>8</v>
      </c>
      <c r="AM63" s="20">
        <f t="shared" si="238"/>
        <v>8</v>
      </c>
      <c r="AN63" s="20">
        <f t="shared" si="238"/>
        <v>8</v>
      </c>
      <c r="AO63" s="20">
        <f t="shared" si="238"/>
        <v>8</v>
      </c>
      <c r="AP63" s="22" t="b">
        <v>0</v>
      </c>
      <c r="AQ63" s="21"/>
      <c r="AR63" s="21"/>
    </row>
    <row r="64" ht="22.5" customHeight="1">
      <c r="A64" s="25" t="s">
        <v>169</v>
      </c>
      <c r="B64" s="25" t="s">
        <v>170</v>
      </c>
      <c r="C64" s="26" t="s">
        <v>60</v>
      </c>
      <c r="D64" s="15" t="s">
        <v>56</v>
      </c>
      <c r="E64" s="16" t="s">
        <v>57</v>
      </c>
      <c r="F64" s="17" t="str">
        <f t="shared" si="1"/>
        <v>Nicholas</v>
      </c>
      <c r="G64" s="18">
        <f t="shared" si="148"/>
        <v>160</v>
      </c>
      <c r="H64" s="17">
        <f t="shared" si="149"/>
        <v>20</v>
      </c>
      <c r="I64" s="17"/>
      <c r="J64" s="17"/>
      <c r="K64" s="24"/>
      <c r="L64" s="24"/>
      <c r="M64" s="20">
        <f t="shared" ref="M64:N64" si="239">IF($D64="Full Time",8,"")</f>
        <v>8</v>
      </c>
      <c r="N64" s="20">
        <f t="shared" si="239"/>
        <v>8</v>
      </c>
      <c r="O64" s="18" t="b">
        <v>1</v>
      </c>
      <c r="P64" s="20">
        <f t="shared" ref="P64:R64" si="240">IF($D64="Full Time",8,"")</f>
        <v>8</v>
      </c>
      <c r="Q64" s="20">
        <f t="shared" si="240"/>
        <v>8</v>
      </c>
      <c r="R64" s="20">
        <f t="shared" si="240"/>
        <v>8</v>
      </c>
      <c r="S64" s="21"/>
      <c r="T64" s="21"/>
      <c r="U64" s="20">
        <f t="shared" ref="U64:Y64" si="241">IF($D64="Full Time",8,"")</f>
        <v>8</v>
      </c>
      <c r="V64" s="20">
        <f t="shared" si="241"/>
        <v>8</v>
      </c>
      <c r="W64" s="20">
        <f t="shared" si="241"/>
        <v>8</v>
      </c>
      <c r="X64" s="20">
        <f t="shared" si="241"/>
        <v>8</v>
      </c>
      <c r="Y64" s="20">
        <f t="shared" si="241"/>
        <v>8</v>
      </c>
      <c r="Z64" s="22" t="b">
        <v>1</v>
      </c>
      <c r="AA64" s="21"/>
      <c r="AB64" s="21"/>
      <c r="AC64" s="20">
        <f t="shared" ref="AC64:AG64" si="242">IF($D64="Full Time",8,"")</f>
        <v>8</v>
      </c>
      <c r="AD64" s="20">
        <f t="shared" si="242"/>
        <v>8</v>
      </c>
      <c r="AE64" s="20">
        <f t="shared" si="242"/>
        <v>8</v>
      </c>
      <c r="AF64" s="20">
        <f t="shared" si="242"/>
        <v>8</v>
      </c>
      <c r="AG64" s="20">
        <f t="shared" si="242"/>
        <v>8</v>
      </c>
      <c r="AH64" s="22" t="b">
        <v>1</v>
      </c>
      <c r="AI64" s="21"/>
      <c r="AJ64" s="21"/>
      <c r="AK64" s="20">
        <f t="shared" ref="AK64:AO64" si="243">IF($D64="Full Time",8,"")</f>
        <v>8</v>
      </c>
      <c r="AL64" s="20">
        <f t="shared" si="243"/>
        <v>8</v>
      </c>
      <c r="AM64" s="20">
        <f t="shared" si="243"/>
        <v>8</v>
      </c>
      <c r="AN64" s="20">
        <f t="shared" si="243"/>
        <v>8</v>
      </c>
      <c r="AO64" s="20">
        <f t="shared" si="243"/>
        <v>8</v>
      </c>
      <c r="AP64" s="22" t="b">
        <v>1</v>
      </c>
      <c r="AQ64" s="21"/>
      <c r="AR64" s="21"/>
    </row>
    <row r="65" ht="22.5" customHeight="1">
      <c r="A65" s="25" t="s">
        <v>171</v>
      </c>
      <c r="B65" s="25" t="s">
        <v>172</v>
      </c>
      <c r="C65" s="26" t="s">
        <v>60</v>
      </c>
      <c r="D65" s="15" t="s">
        <v>56</v>
      </c>
      <c r="E65" s="16" t="s">
        <v>57</v>
      </c>
      <c r="F65" s="17" t="str">
        <f t="shared" si="1"/>
        <v>Nicholas</v>
      </c>
      <c r="G65" s="18">
        <f t="shared" si="148"/>
        <v>160</v>
      </c>
      <c r="H65" s="17">
        <f t="shared" si="149"/>
        <v>20</v>
      </c>
      <c r="I65" s="17"/>
      <c r="J65" s="17"/>
      <c r="K65" s="24"/>
      <c r="L65" s="24"/>
      <c r="M65" s="20">
        <f t="shared" ref="M65:N65" si="244">IF($D65="Full Time",8,"")</f>
        <v>8</v>
      </c>
      <c r="N65" s="20">
        <f t="shared" si="244"/>
        <v>8</v>
      </c>
      <c r="O65" s="18" t="b">
        <v>1</v>
      </c>
      <c r="P65" s="20">
        <f t="shared" ref="P65:R65" si="245">IF($D65="Full Time",8,"")</f>
        <v>8</v>
      </c>
      <c r="Q65" s="20">
        <f t="shared" si="245"/>
        <v>8</v>
      </c>
      <c r="R65" s="20">
        <f t="shared" si="245"/>
        <v>8</v>
      </c>
      <c r="S65" s="21"/>
      <c r="T65" s="21"/>
      <c r="U65" s="20">
        <f t="shared" ref="U65:Y65" si="246">IF($D65="Full Time",8,"")</f>
        <v>8</v>
      </c>
      <c r="V65" s="20">
        <f t="shared" si="246"/>
        <v>8</v>
      </c>
      <c r="W65" s="20">
        <f t="shared" si="246"/>
        <v>8</v>
      </c>
      <c r="X65" s="20">
        <f t="shared" si="246"/>
        <v>8</v>
      </c>
      <c r="Y65" s="20">
        <f t="shared" si="246"/>
        <v>8</v>
      </c>
      <c r="Z65" s="22" t="b">
        <v>1</v>
      </c>
      <c r="AA65" s="21"/>
      <c r="AB65" s="21"/>
      <c r="AC65" s="20">
        <f t="shared" ref="AC65:AG65" si="247">IF($D65="Full Time",8,"")</f>
        <v>8</v>
      </c>
      <c r="AD65" s="20">
        <f t="shared" si="247"/>
        <v>8</v>
      </c>
      <c r="AE65" s="20">
        <f t="shared" si="247"/>
        <v>8</v>
      </c>
      <c r="AF65" s="20">
        <f t="shared" si="247"/>
        <v>8</v>
      </c>
      <c r="AG65" s="20">
        <f t="shared" si="247"/>
        <v>8</v>
      </c>
      <c r="AH65" s="22" t="b">
        <v>1</v>
      </c>
      <c r="AI65" s="21"/>
      <c r="AJ65" s="21"/>
      <c r="AK65" s="20">
        <f t="shared" ref="AK65:AO65" si="248">IF($D65="Full Time",8,"")</f>
        <v>8</v>
      </c>
      <c r="AL65" s="20">
        <f t="shared" si="248"/>
        <v>8</v>
      </c>
      <c r="AM65" s="20">
        <f t="shared" si="248"/>
        <v>8</v>
      </c>
      <c r="AN65" s="20">
        <f t="shared" si="248"/>
        <v>8</v>
      </c>
      <c r="AO65" s="20">
        <f t="shared" si="248"/>
        <v>8</v>
      </c>
      <c r="AP65" s="22" t="b">
        <v>1</v>
      </c>
      <c r="AQ65" s="21"/>
      <c r="AR65" s="21"/>
    </row>
    <row r="66" ht="22.5" customHeight="1">
      <c r="A66" s="25" t="s">
        <v>173</v>
      </c>
      <c r="B66" s="25" t="s">
        <v>174</v>
      </c>
      <c r="C66" s="26" t="s">
        <v>63</v>
      </c>
      <c r="D66" s="15" t="s">
        <v>56</v>
      </c>
      <c r="E66" s="32"/>
      <c r="F66" s="17" t="str">
        <f t="shared" si="1"/>
        <v>Ean</v>
      </c>
      <c r="G66" s="18">
        <f t="shared" si="148"/>
        <v>132</v>
      </c>
      <c r="H66" s="17">
        <f t="shared" si="149"/>
        <v>16.5</v>
      </c>
      <c r="I66" s="17"/>
      <c r="J66" s="17"/>
      <c r="K66" s="24"/>
      <c r="L66" s="24"/>
      <c r="M66" s="20">
        <f t="shared" ref="M66:N66" si="249">IF($D66="Full Time",8,"")</f>
        <v>8</v>
      </c>
      <c r="N66" s="20">
        <f t="shared" si="249"/>
        <v>8</v>
      </c>
      <c r="O66" s="18" t="b">
        <v>1</v>
      </c>
      <c r="P66" s="20">
        <f t="shared" ref="P66:R66" si="250">IF($D66="Full Time",8,"")</f>
        <v>8</v>
      </c>
      <c r="Q66" s="20">
        <f t="shared" si="250"/>
        <v>8</v>
      </c>
      <c r="R66" s="20">
        <f t="shared" si="250"/>
        <v>8</v>
      </c>
      <c r="S66" s="21"/>
      <c r="T66" s="21"/>
      <c r="U66" s="20">
        <f t="shared" ref="U66:Y66" si="251">IF($D66="Full Time",8,"")</f>
        <v>8</v>
      </c>
      <c r="V66" s="20">
        <f t="shared" si="251"/>
        <v>8</v>
      </c>
      <c r="W66" s="20">
        <f t="shared" si="251"/>
        <v>8</v>
      </c>
      <c r="X66" s="20">
        <f t="shared" si="251"/>
        <v>8</v>
      </c>
      <c r="Y66" s="20">
        <f t="shared" si="251"/>
        <v>8</v>
      </c>
      <c r="Z66" s="22" t="b">
        <v>1</v>
      </c>
      <c r="AA66" s="21"/>
      <c r="AB66" s="21"/>
      <c r="AC66" s="20">
        <f t="shared" ref="AC66:AG66" si="252">IF($D66="Full Time",8,"")</f>
        <v>8</v>
      </c>
      <c r="AD66" s="20">
        <f t="shared" si="252"/>
        <v>8</v>
      </c>
      <c r="AE66" s="20">
        <f t="shared" si="252"/>
        <v>8</v>
      </c>
      <c r="AF66" s="20">
        <f t="shared" si="252"/>
        <v>8</v>
      </c>
      <c r="AG66" s="20">
        <f t="shared" si="252"/>
        <v>8</v>
      </c>
      <c r="AH66" s="22" t="b">
        <v>1</v>
      </c>
      <c r="AI66" s="21"/>
      <c r="AJ66" s="21"/>
      <c r="AK66" s="20">
        <f t="shared" ref="AK66:AK81" si="257">IF($D66="Full Time",8,"")</f>
        <v>8</v>
      </c>
      <c r="AL66" s="20">
        <v>0.0</v>
      </c>
      <c r="AM66" s="20">
        <v>2.0</v>
      </c>
      <c r="AN66" s="20">
        <v>0.0</v>
      </c>
      <c r="AO66" s="20">
        <v>2.0</v>
      </c>
      <c r="AP66" s="22" t="b">
        <v>1</v>
      </c>
      <c r="AQ66" s="21"/>
      <c r="AR66" s="21"/>
    </row>
    <row r="67" ht="22.5" customHeight="1">
      <c r="A67" s="25" t="s">
        <v>175</v>
      </c>
      <c r="B67" s="25" t="s">
        <v>176</v>
      </c>
      <c r="C67" s="26" t="s">
        <v>63</v>
      </c>
      <c r="D67" s="15" t="s">
        <v>56</v>
      </c>
      <c r="E67" s="32"/>
      <c r="F67" s="17" t="str">
        <f t="shared" si="1"/>
        <v>Ean</v>
      </c>
      <c r="G67" s="18">
        <f t="shared" si="148"/>
        <v>160</v>
      </c>
      <c r="H67" s="17">
        <f t="shared" si="149"/>
        <v>20</v>
      </c>
      <c r="I67" s="17"/>
      <c r="J67" s="17"/>
      <c r="K67" s="24"/>
      <c r="L67" s="24"/>
      <c r="M67" s="20">
        <f t="shared" ref="M67:N67" si="253">IF($D67="Full Time",8,"")</f>
        <v>8</v>
      </c>
      <c r="N67" s="20">
        <f t="shared" si="253"/>
        <v>8</v>
      </c>
      <c r="O67" s="18" t="b">
        <v>1</v>
      </c>
      <c r="P67" s="20">
        <f t="shared" ref="P67:R67" si="254">IF($D67="Full Time",8,"")</f>
        <v>8</v>
      </c>
      <c r="Q67" s="20">
        <f t="shared" si="254"/>
        <v>8</v>
      </c>
      <c r="R67" s="20">
        <f t="shared" si="254"/>
        <v>8</v>
      </c>
      <c r="S67" s="21"/>
      <c r="T67" s="21"/>
      <c r="U67" s="20">
        <f t="shared" ref="U67:Y67" si="255">IF($D67="Full Time",8,"")</f>
        <v>8</v>
      </c>
      <c r="V67" s="20">
        <f t="shared" si="255"/>
        <v>8</v>
      </c>
      <c r="W67" s="20">
        <f t="shared" si="255"/>
        <v>8</v>
      </c>
      <c r="X67" s="20">
        <f t="shared" si="255"/>
        <v>8</v>
      </c>
      <c r="Y67" s="20">
        <f t="shared" si="255"/>
        <v>8</v>
      </c>
      <c r="Z67" s="22" t="b">
        <v>1</v>
      </c>
      <c r="AA67" s="35">
        <v>8.0</v>
      </c>
      <c r="AB67" s="35">
        <v>8.0</v>
      </c>
      <c r="AC67" s="20">
        <f t="shared" ref="AC67:AG67" si="256">IF($D67="Full Time",8,"")</f>
        <v>8</v>
      </c>
      <c r="AD67" s="20">
        <f t="shared" si="256"/>
        <v>8</v>
      </c>
      <c r="AE67" s="20">
        <f t="shared" si="256"/>
        <v>8</v>
      </c>
      <c r="AF67" s="20">
        <f t="shared" si="256"/>
        <v>8</v>
      </c>
      <c r="AG67" s="20">
        <f t="shared" si="256"/>
        <v>8</v>
      </c>
      <c r="AH67" s="22" t="b">
        <v>1</v>
      </c>
      <c r="AI67" s="35">
        <v>8.0</v>
      </c>
      <c r="AJ67" s="35"/>
      <c r="AK67" s="20">
        <f t="shared" si="257"/>
        <v>8</v>
      </c>
      <c r="AL67" s="20">
        <f t="shared" ref="AL67:AL81" si="262">IF($D67="Full Time",8,"")</f>
        <v>8</v>
      </c>
      <c r="AM67" s="20">
        <v>0.0</v>
      </c>
      <c r="AN67" s="20">
        <v>0.0</v>
      </c>
      <c r="AO67" s="20">
        <v>0.0</v>
      </c>
      <c r="AP67" s="22" t="b">
        <v>1</v>
      </c>
      <c r="AQ67" s="21"/>
      <c r="AR67" s="21"/>
    </row>
    <row r="68" ht="22.5" customHeight="1">
      <c r="A68" s="25" t="s">
        <v>177</v>
      </c>
      <c r="B68" s="25" t="s">
        <v>178</v>
      </c>
      <c r="C68" s="26" t="s">
        <v>63</v>
      </c>
      <c r="D68" s="15" t="s">
        <v>56</v>
      </c>
      <c r="E68" s="32"/>
      <c r="F68" s="17" t="str">
        <f t="shared" si="1"/>
        <v>Ean</v>
      </c>
      <c r="G68" s="18">
        <f t="shared" si="148"/>
        <v>160</v>
      </c>
      <c r="H68" s="17">
        <f t="shared" si="149"/>
        <v>20</v>
      </c>
      <c r="I68" s="17"/>
      <c r="J68" s="17"/>
      <c r="K68" s="24"/>
      <c r="L68" s="24"/>
      <c r="M68" s="20">
        <f t="shared" ref="M68:N68" si="258">IF($D68="Full Time",8,"")</f>
        <v>8</v>
      </c>
      <c r="N68" s="20">
        <f t="shared" si="258"/>
        <v>8</v>
      </c>
      <c r="O68" s="18" t="b">
        <v>1</v>
      </c>
      <c r="P68" s="20">
        <f t="shared" ref="P68:R68" si="259">IF($D68="Full Time",8,"")</f>
        <v>8</v>
      </c>
      <c r="Q68" s="20">
        <f t="shared" si="259"/>
        <v>8</v>
      </c>
      <c r="R68" s="20">
        <f t="shared" si="259"/>
        <v>8</v>
      </c>
      <c r="S68" s="21"/>
      <c r="T68" s="21"/>
      <c r="U68" s="20">
        <f t="shared" ref="U68:Y68" si="260">IF($D68="Full Time",8,"")</f>
        <v>8</v>
      </c>
      <c r="V68" s="20">
        <f t="shared" si="260"/>
        <v>8</v>
      </c>
      <c r="W68" s="20">
        <f t="shared" si="260"/>
        <v>8</v>
      </c>
      <c r="X68" s="20">
        <f t="shared" si="260"/>
        <v>8</v>
      </c>
      <c r="Y68" s="20">
        <f t="shared" si="260"/>
        <v>8</v>
      </c>
      <c r="Z68" s="22" t="b">
        <v>1</v>
      </c>
      <c r="AA68" s="21"/>
      <c r="AB68" s="21"/>
      <c r="AC68" s="20">
        <f t="shared" ref="AC68:AG68" si="261">IF($D68="Full Time",8,"")</f>
        <v>8</v>
      </c>
      <c r="AD68" s="20">
        <f t="shared" si="261"/>
        <v>8</v>
      </c>
      <c r="AE68" s="20">
        <f t="shared" si="261"/>
        <v>8</v>
      </c>
      <c r="AF68" s="20">
        <f t="shared" si="261"/>
        <v>8</v>
      </c>
      <c r="AG68" s="20">
        <f t="shared" si="261"/>
        <v>8</v>
      </c>
      <c r="AH68" s="22" t="b">
        <v>1</v>
      </c>
      <c r="AI68" s="21"/>
      <c r="AJ68" s="21"/>
      <c r="AK68" s="20">
        <f t="shared" si="257"/>
        <v>8</v>
      </c>
      <c r="AL68" s="20">
        <f t="shared" si="262"/>
        <v>8</v>
      </c>
      <c r="AM68" s="20">
        <f t="shared" ref="AM68:AO68" si="263">IF($D68="Full Time",8,"")</f>
        <v>8</v>
      </c>
      <c r="AN68" s="20">
        <f t="shared" si="263"/>
        <v>8</v>
      </c>
      <c r="AO68" s="20">
        <f t="shared" si="263"/>
        <v>8</v>
      </c>
      <c r="AP68" s="22" t="b">
        <v>1</v>
      </c>
      <c r="AQ68" s="21"/>
      <c r="AR68" s="21"/>
    </row>
    <row r="69" ht="22.5" customHeight="1">
      <c r="A69" s="25" t="s">
        <v>179</v>
      </c>
      <c r="B69" s="25" t="s">
        <v>180</v>
      </c>
      <c r="C69" s="26" t="s">
        <v>55</v>
      </c>
      <c r="D69" s="15" t="s">
        <v>56</v>
      </c>
      <c r="E69" s="16" t="s">
        <v>57</v>
      </c>
      <c r="F69" s="17" t="str">
        <f t="shared" si="1"/>
        <v>Kathy</v>
      </c>
      <c r="G69" s="18">
        <f t="shared" si="148"/>
        <v>160</v>
      </c>
      <c r="H69" s="17">
        <f t="shared" si="149"/>
        <v>20</v>
      </c>
      <c r="I69" s="17"/>
      <c r="J69" s="17"/>
      <c r="K69" s="24"/>
      <c r="L69" s="24"/>
      <c r="M69" s="20">
        <f t="shared" ref="M69:N69" si="264">IF($D69="Full Time",8,"")</f>
        <v>8</v>
      </c>
      <c r="N69" s="20">
        <f t="shared" si="264"/>
        <v>8</v>
      </c>
      <c r="O69" s="18" t="b">
        <v>1</v>
      </c>
      <c r="P69" s="20">
        <f t="shared" ref="P69:R69" si="265">IF($D69="Full Time",8,"")</f>
        <v>8</v>
      </c>
      <c r="Q69" s="20">
        <f t="shared" si="265"/>
        <v>8</v>
      </c>
      <c r="R69" s="20">
        <f t="shared" si="265"/>
        <v>8</v>
      </c>
      <c r="S69" s="21"/>
      <c r="T69" s="21"/>
      <c r="U69" s="20">
        <f t="shared" ref="U69:Y69" si="266">IF($D69="Full Time",8,"")</f>
        <v>8</v>
      </c>
      <c r="V69" s="20">
        <f t="shared" si="266"/>
        <v>8</v>
      </c>
      <c r="W69" s="20">
        <f t="shared" si="266"/>
        <v>8</v>
      </c>
      <c r="X69" s="20">
        <f t="shared" si="266"/>
        <v>8</v>
      </c>
      <c r="Y69" s="20">
        <f t="shared" si="266"/>
        <v>8</v>
      </c>
      <c r="Z69" s="22" t="b">
        <v>1</v>
      </c>
      <c r="AA69" s="21"/>
      <c r="AB69" s="21"/>
      <c r="AC69" s="20">
        <f t="shared" ref="AC69:AG69" si="267">IF($D69="Full Time",8,"")</f>
        <v>8</v>
      </c>
      <c r="AD69" s="20">
        <f t="shared" si="267"/>
        <v>8</v>
      </c>
      <c r="AE69" s="20">
        <f t="shared" si="267"/>
        <v>8</v>
      </c>
      <c r="AF69" s="20">
        <f t="shared" si="267"/>
        <v>8</v>
      </c>
      <c r="AG69" s="20">
        <f t="shared" si="267"/>
        <v>8</v>
      </c>
      <c r="AH69" s="22" t="b">
        <v>1</v>
      </c>
      <c r="AI69" s="21"/>
      <c r="AJ69" s="21"/>
      <c r="AK69" s="20">
        <f t="shared" si="257"/>
        <v>8</v>
      </c>
      <c r="AL69" s="20">
        <f t="shared" si="262"/>
        <v>8</v>
      </c>
      <c r="AM69" s="20">
        <f t="shared" ref="AM69:AO69" si="268">IF($D69="Full Time",8,"")</f>
        <v>8</v>
      </c>
      <c r="AN69" s="20">
        <f t="shared" si="268"/>
        <v>8</v>
      </c>
      <c r="AO69" s="20">
        <f t="shared" si="268"/>
        <v>8</v>
      </c>
      <c r="AP69" s="22" t="b">
        <v>1</v>
      </c>
      <c r="AQ69" s="21"/>
      <c r="AR69" s="21"/>
    </row>
    <row r="70" ht="22.5" customHeight="1">
      <c r="A70" s="25" t="s">
        <v>181</v>
      </c>
      <c r="B70" s="25" t="s">
        <v>182</v>
      </c>
      <c r="C70" s="26" t="s">
        <v>94</v>
      </c>
      <c r="D70" s="15" t="s">
        <v>56</v>
      </c>
      <c r="E70" s="16" t="s">
        <v>57</v>
      </c>
      <c r="F70" s="17" t="str">
        <f t="shared" si="1"/>
        <v>Nicholas</v>
      </c>
      <c r="G70" s="18">
        <f t="shared" si="148"/>
        <v>160</v>
      </c>
      <c r="H70" s="17">
        <f t="shared" si="149"/>
        <v>20</v>
      </c>
      <c r="I70" s="17"/>
      <c r="J70" s="17"/>
      <c r="K70" s="24"/>
      <c r="L70" s="24"/>
      <c r="M70" s="20">
        <f t="shared" ref="M70:N70" si="269">IF($D70="Full Time",8,"")</f>
        <v>8</v>
      </c>
      <c r="N70" s="20">
        <f t="shared" si="269"/>
        <v>8</v>
      </c>
      <c r="O70" s="18" t="b">
        <v>1</v>
      </c>
      <c r="P70" s="20">
        <f t="shared" ref="P70:R70" si="270">IF($D70="Full Time",8,"")</f>
        <v>8</v>
      </c>
      <c r="Q70" s="20">
        <f t="shared" si="270"/>
        <v>8</v>
      </c>
      <c r="R70" s="20">
        <f t="shared" si="270"/>
        <v>8</v>
      </c>
      <c r="S70" s="21"/>
      <c r="T70" s="21"/>
      <c r="U70" s="20">
        <f t="shared" ref="U70:Y70" si="271">IF($D70="Full Time",8,"")</f>
        <v>8</v>
      </c>
      <c r="V70" s="20">
        <f t="shared" si="271"/>
        <v>8</v>
      </c>
      <c r="W70" s="20">
        <f t="shared" si="271"/>
        <v>8</v>
      </c>
      <c r="X70" s="20">
        <f t="shared" si="271"/>
        <v>8</v>
      </c>
      <c r="Y70" s="20">
        <f t="shared" si="271"/>
        <v>8</v>
      </c>
      <c r="Z70" s="22" t="b">
        <v>1</v>
      </c>
      <c r="AA70" s="21"/>
      <c r="AB70" s="21"/>
      <c r="AC70" s="20">
        <f t="shared" ref="AC70:AG70" si="272">IF($D70="Full Time",8,"")</f>
        <v>8</v>
      </c>
      <c r="AD70" s="20">
        <f t="shared" si="272"/>
        <v>8</v>
      </c>
      <c r="AE70" s="20">
        <f t="shared" si="272"/>
        <v>8</v>
      </c>
      <c r="AF70" s="20">
        <f t="shared" si="272"/>
        <v>8</v>
      </c>
      <c r="AG70" s="20">
        <f t="shared" si="272"/>
        <v>8</v>
      </c>
      <c r="AH70" s="22" t="b">
        <v>1</v>
      </c>
      <c r="AI70" s="21"/>
      <c r="AJ70" s="21"/>
      <c r="AK70" s="20">
        <f t="shared" si="257"/>
        <v>8</v>
      </c>
      <c r="AL70" s="20">
        <f t="shared" si="262"/>
        <v>8</v>
      </c>
      <c r="AM70" s="20">
        <f t="shared" ref="AM70:AO70" si="273">IF($D70="Full Time",8,"")</f>
        <v>8</v>
      </c>
      <c r="AN70" s="20">
        <f t="shared" si="273"/>
        <v>8</v>
      </c>
      <c r="AO70" s="20">
        <f t="shared" si="273"/>
        <v>8</v>
      </c>
      <c r="AP70" s="22" t="b">
        <v>1</v>
      </c>
      <c r="AQ70" s="21"/>
      <c r="AR70" s="21"/>
    </row>
    <row r="71" ht="22.5" customHeight="1">
      <c r="A71" s="25" t="s">
        <v>183</v>
      </c>
      <c r="B71" s="25" t="s">
        <v>184</v>
      </c>
      <c r="C71" s="26" t="s">
        <v>63</v>
      </c>
      <c r="D71" s="15" t="s">
        <v>56</v>
      </c>
      <c r="E71" s="32"/>
      <c r="F71" s="17" t="str">
        <f t="shared" si="1"/>
        <v>Ean</v>
      </c>
      <c r="G71" s="18">
        <f t="shared" si="148"/>
        <v>160</v>
      </c>
      <c r="H71" s="17">
        <f t="shared" si="149"/>
        <v>20</v>
      </c>
      <c r="I71" s="17"/>
      <c r="J71" s="17"/>
      <c r="K71" s="24"/>
      <c r="L71" s="24"/>
      <c r="M71" s="20">
        <f t="shared" ref="M71:N71" si="274">IF($D71="Full Time",8,"")</f>
        <v>8</v>
      </c>
      <c r="N71" s="20">
        <f t="shared" si="274"/>
        <v>8</v>
      </c>
      <c r="O71" s="18" t="b">
        <v>1</v>
      </c>
      <c r="P71" s="20">
        <f t="shared" ref="P71:R71" si="275">IF($D71="Full Time",8,"")</f>
        <v>8</v>
      </c>
      <c r="Q71" s="20">
        <f t="shared" si="275"/>
        <v>8</v>
      </c>
      <c r="R71" s="20">
        <f t="shared" si="275"/>
        <v>8</v>
      </c>
      <c r="S71" s="21"/>
      <c r="T71" s="21"/>
      <c r="U71" s="20">
        <f t="shared" ref="U71:Y71" si="276">IF($D71="Full Time",8,"")</f>
        <v>8</v>
      </c>
      <c r="V71" s="20">
        <f t="shared" si="276"/>
        <v>8</v>
      </c>
      <c r="W71" s="20">
        <f t="shared" si="276"/>
        <v>8</v>
      </c>
      <c r="X71" s="20">
        <f t="shared" si="276"/>
        <v>8</v>
      </c>
      <c r="Y71" s="20">
        <f t="shared" si="276"/>
        <v>8</v>
      </c>
      <c r="Z71" s="22" t="b">
        <v>1</v>
      </c>
      <c r="AA71" s="21"/>
      <c r="AB71" s="21"/>
      <c r="AC71" s="20">
        <f t="shared" ref="AC71:AG71" si="277">IF($D71="Full Time",8,"")</f>
        <v>8</v>
      </c>
      <c r="AD71" s="20">
        <f t="shared" si="277"/>
        <v>8</v>
      </c>
      <c r="AE71" s="20">
        <f t="shared" si="277"/>
        <v>8</v>
      </c>
      <c r="AF71" s="20">
        <f t="shared" si="277"/>
        <v>8</v>
      </c>
      <c r="AG71" s="20">
        <f t="shared" si="277"/>
        <v>8</v>
      </c>
      <c r="AH71" s="22" t="b">
        <v>1</v>
      </c>
      <c r="AI71" s="21"/>
      <c r="AJ71" s="21"/>
      <c r="AK71" s="20">
        <f t="shared" si="257"/>
        <v>8</v>
      </c>
      <c r="AL71" s="20">
        <f t="shared" si="262"/>
        <v>8</v>
      </c>
      <c r="AM71" s="20">
        <f t="shared" ref="AM71:AO71" si="278">IF($D71="Full Time",8,"")</f>
        <v>8</v>
      </c>
      <c r="AN71" s="20">
        <f t="shared" si="278"/>
        <v>8</v>
      </c>
      <c r="AO71" s="20">
        <f t="shared" si="278"/>
        <v>8</v>
      </c>
      <c r="AP71" s="22" t="b">
        <v>1</v>
      </c>
      <c r="AQ71" s="21"/>
      <c r="AR71" s="21"/>
    </row>
    <row r="72" ht="22.5" customHeight="1">
      <c r="A72" s="25" t="s">
        <v>185</v>
      </c>
      <c r="B72" s="25" t="s">
        <v>186</v>
      </c>
      <c r="C72" s="26" t="s">
        <v>52</v>
      </c>
      <c r="D72" s="15" t="s">
        <v>56</v>
      </c>
      <c r="E72" s="16" t="s">
        <v>50</v>
      </c>
      <c r="F72" s="17" t="str">
        <f t="shared" si="1"/>
        <v>Nicholas</v>
      </c>
      <c r="G72" s="18">
        <f t="shared" si="148"/>
        <v>160</v>
      </c>
      <c r="H72" s="17">
        <f t="shared" si="149"/>
        <v>20</v>
      </c>
      <c r="I72" s="17"/>
      <c r="J72" s="17"/>
      <c r="K72" s="24"/>
      <c r="L72" s="24"/>
      <c r="M72" s="20">
        <f t="shared" ref="M72:N72" si="279">IF($D72="Full Time",8,"")</f>
        <v>8</v>
      </c>
      <c r="N72" s="20">
        <f t="shared" si="279"/>
        <v>8</v>
      </c>
      <c r="O72" s="18" t="b">
        <v>1</v>
      </c>
      <c r="P72" s="20">
        <f t="shared" ref="P72:R72" si="280">IF($D72="Full Time",8,"")</f>
        <v>8</v>
      </c>
      <c r="Q72" s="20">
        <f t="shared" si="280"/>
        <v>8</v>
      </c>
      <c r="R72" s="20">
        <f t="shared" si="280"/>
        <v>8</v>
      </c>
      <c r="S72" s="21"/>
      <c r="T72" s="21"/>
      <c r="U72" s="20">
        <f t="shared" ref="U72:Y72" si="281">IF($D72="Full Time",8,"")</f>
        <v>8</v>
      </c>
      <c r="V72" s="20">
        <f t="shared" si="281"/>
        <v>8</v>
      </c>
      <c r="W72" s="20">
        <f t="shared" si="281"/>
        <v>8</v>
      </c>
      <c r="X72" s="20">
        <f t="shared" si="281"/>
        <v>8</v>
      </c>
      <c r="Y72" s="20">
        <f t="shared" si="281"/>
        <v>8</v>
      </c>
      <c r="Z72" s="22" t="b">
        <v>1</v>
      </c>
      <c r="AA72" s="21"/>
      <c r="AB72" s="21"/>
      <c r="AC72" s="20">
        <f t="shared" ref="AC72:AG72" si="282">IF($D72="Full Time",8,"")</f>
        <v>8</v>
      </c>
      <c r="AD72" s="20">
        <f t="shared" si="282"/>
        <v>8</v>
      </c>
      <c r="AE72" s="20">
        <f t="shared" si="282"/>
        <v>8</v>
      </c>
      <c r="AF72" s="20">
        <f t="shared" si="282"/>
        <v>8</v>
      </c>
      <c r="AG72" s="20">
        <f t="shared" si="282"/>
        <v>8</v>
      </c>
      <c r="AH72" s="22" t="b">
        <v>1</v>
      </c>
      <c r="AI72" s="21"/>
      <c r="AJ72" s="21"/>
      <c r="AK72" s="20">
        <f t="shared" si="257"/>
        <v>8</v>
      </c>
      <c r="AL72" s="20">
        <f t="shared" si="262"/>
        <v>8</v>
      </c>
      <c r="AM72" s="20">
        <f t="shared" ref="AM72:AO72" si="283">IF($D72="Full Time",8,"")</f>
        <v>8</v>
      </c>
      <c r="AN72" s="20">
        <f t="shared" si="283"/>
        <v>8</v>
      </c>
      <c r="AO72" s="20">
        <f t="shared" si="283"/>
        <v>8</v>
      </c>
      <c r="AP72" s="22" t="b">
        <v>1</v>
      </c>
      <c r="AQ72" s="21"/>
      <c r="AR72" s="21"/>
    </row>
    <row r="73" ht="22.5" customHeight="1">
      <c r="A73" s="25" t="s">
        <v>187</v>
      </c>
      <c r="B73" s="25" t="s">
        <v>188</v>
      </c>
      <c r="C73" s="26" t="s">
        <v>60</v>
      </c>
      <c r="D73" s="15" t="s">
        <v>56</v>
      </c>
      <c r="E73" s="16" t="s">
        <v>57</v>
      </c>
      <c r="F73" s="17" t="str">
        <f t="shared" si="1"/>
        <v>Nicholas</v>
      </c>
      <c r="G73" s="18">
        <f t="shared" si="148"/>
        <v>160</v>
      </c>
      <c r="H73" s="17">
        <f t="shared" si="149"/>
        <v>20</v>
      </c>
      <c r="I73" s="17"/>
      <c r="J73" s="17"/>
      <c r="K73" s="24"/>
      <c r="L73" s="24"/>
      <c r="M73" s="20">
        <f t="shared" ref="M73:N73" si="284">IF($D73="Full Time",8,"")</f>
        <v>8</v>
      </c>
      <c r="N73" s="20">
        <f t="shared" si="284"/>
        <v>8</v>
      </c>
      <c r="O73" s="18" t="b">
        <v>1</v>
      </c>
      <c r="P73" s="20">
        <f t="shared" ref="P73:R73" si="285">IF($D73="Full Time",8,"")</f>
        <v>8</v>
      </c>
      <c r="Q73" s="20">
        <f t="shared" si="285"/>
        <v>8</v>
      </c>
      <c r="R73" s="20">
        <f t="shared" si="285"/>
        <v>8</v>
      </c>
      <c r="S73" s="21"/>
      <c r="T73" s="21"/>
      <c r="U73" s="20">
        <f t="shared" ref="U73:Y73" si="286">IF($D73="Full Time",8,"")</f>
        <v>8</v>
      </c>
      <c r="V73" s="20">
        <f t="shared" si="286"/>
        <v>8</v>
      </c>
      <c r="W73" s="20">
        <f t="shared" si="286"/>
        <v>8</v>
      </c>
      <c r="X73" s="20">
        <f t="shared" si="286"/>
        <v>8</v>
      </c>
      <c r="Y73" s="20">
        <f t="shared" si="286"/>
        <v>8</v>
      </c>
      <c r="Z73" s="22" t="b">
        <v>1</v>
      </c>
      <c r="AA73" s="21"/>
      <c r="AB73" s="21"/>
      <c r="AC73" s="20">
        <f t="shared" ref="AC73:AG73" si="287">IF($D73="Full Time",8,"")</f>
        <v>8</v>
      </c>
      <c r="AD73" s="20">
        <f t="shared" si="287"/>
        <v>8</v>
      </c>
      <c r="AE73" s="20">
        <f t="shared" si="287"/>
        <v>8</v>
      </c>
      <c r="AF73" s="20">
        <f t="shared" si="287"/>
        <v>8</v>
      </c>
      <c r="AG73" s="20">
        <f t="shared" si="287"/>
        <v>8</v>
      </c>
      <c r="AH73" s="22" t="b">
        <v>1</v>
      </c>
      <c r="AI73" s="21"/>
      <c r="AJ73" s="21"/>
      <c r="AK73" s="20">
        <f t="shared" si="257"/>
        <v>8</v>
      </c>
      <c r="AL73" s="20">
        <f t="shared" si="262"/>
        <v>8</v>
      </c>
      <c r="AM73" s="20">
        <f t="shared" ref="AM73:AO73" si="288">IF($D73="Full Time",8,"")</f>
        <v>8</v>
      </c>
      <c r="AN73" s="20">
        <f t="shared" si="288"/>
        <v>8</v>
      </c>
      <c r="AO73" s="20">
        <f t="shared" si="288"/>
        <v>8</v>
      </c>
      <c r="AP73" s="22" t="b">
        <v>1</v>
      </c>
      <c r="AQ73" s="21"/>
      <c r="AR73" s="21"/>
    </row>
    <row r="74" ht="22.5" customHeight="1">
      <c r="A74" s="25" t="s">
        <v>189</v>
      </c>
      <c r="B74" s="25" t="s">
        <v>190</v>
      </c>
      <c r="C74" s="26" t="s">
        <v>52</v>
      </c>
      <c r="D74" s="15" t="s">
        <v>56</v>
      </c>
      <c r="E74" s="16" t="s">
        <v>50</v>
      </c>
      <c r="F74" s="17" t="str">
        <f t="shared" si="1"/>
        <v>Nicholas</v>
      </c>
      <c r="G74" s="18">
        <f t="shared" si="148"/>
        <v>160</v>
      </c>
      <c r="H74" s="17">
        <f t="shared" si="149"/>
        <v>20</v>
      </c>
      <c r="I74" s="17"/>
      <c r="J74" s="17"/>
      <c r="K74" s="24"/>
      <c r="L74" s="24"/>
      <c r="M74" s="20">
        <f t="shared" ref="M74:N74" si="289">IF($D74="Full Time",8,"")</f>
        <v>8</v>
      </c>
      <c r="N74" s="20">
        <f t="shared" si="289"/>
        <v>8</v>
      </c>
      <c r="O74" s="18" t="b">
        <v>1</v>
      </c>
      <c r="P74" s="20">
        <f t="shared" ref="P74:R74" si="290">IF($D74="Full Time",8,"")</f>
        <v>8</v>
      </c>
      <c r="Q74" s="20">
        <f t="shared" si="290"/>
        <v>8</v>
      </c>
      <c r="R74" s="20">
        <f t="shared" si="290"/>
        <v>8</v>
      </c>
      <c r="S74" s="21"/>
      <c r="T74" s="21"/>
      <c r="U74" s="20">
        <f t="shared" ref="U74:Y74" si="291">IF($D74="Full Time",8,"")</f>
        <v>8</v>
      </c>
      <c r="V74" s="20">
        <f t="shared" si="291"/>
        <v>8</v>
      </c>
      <c r="W74" s="20">
        <f t="shared" si="291"/>
        <v>8</v>
      </c>
      <c r="X74" s="20">
        <f t="shared" si="291"/>
        <v>8</v>
      </c>
      <c r="Y74" s="20">
        <f t="shared" si="291"/>
        <v>8</v>
      </c>
      <c r="Z74" s="22" t="b">
        <v>1</v>
      </c>
      <c r="AA74" s="21"/>
      <c r="AB74" s="21"/>
      <c r="AC74" s="20">
        <f t="shared" ref="AC74:AG74" si="292">IF($D74="Full Time",8,"")</f>
        <v>8</v>
      </c>
      <c r="AD74" s="20">
        <f t="shared" si="292"/>
        <v>8</v>
      </c>
      <c r="AE74" s="20">
        <f t="shared" si="292"/>
        <v>8</v>
      </c>
      <c r="AF74" s="20">
        <f t="shared" si="292"/>
        <v>8</v>
      </c>
      <c r="AG74" s="20">
        <f t="shared" si="292"/>
        <v>8</v>
      </c>
      <c r="AH74" s="22" t="b">
        <v>1</v>
      </c>
      <c r="AI74" s="21"/>
      <c r="AJ74" s="21"/>
      <c r="AK74" s="20">
        <f t="shared" si="257"/>
        <v>8</v>
      </c>
      <c r="AL74" s="20">
        <f t="shared" si="262"/>
        <v>8</v>
      </c>
      <c r="AM74" s="20">
        <f t="shared" ref="AM74:AO74" si="293">IF($D74="Full Time",8,"")</f>
        <v>8</v>
      </c>
      <c r="AN74" s="20">
        <f t="shared" si="293"/>
        <v>8</v>
      </c>
      <c r="AO74" s="20">
        <f t="shared" si="293"/>
        <v>8</v>
      </c>
      <c r="AP74" s="22" t="b">
        <v>1</v>
      </c>
      <c r="AQ74" s="21"/>
      <c r="AR74" s="21"/>
    </row>
    <row r="75" ht="22.5" customHeight="1">
      <c r="A75" s="25" t="s">
        <v>191</v>
      </c>
      <c r="B75" s="25" t="s">
        <v>192</v>
      </c>
      <c r="C75" s="26" t="s">
        <v>55</v>
      </c>
      <c r="D75" s="36" t="s">
        <v>56</v>
      </c>
      <c r="E75" s="16" t="s">
        <v>57</v>
      </c>
      <c r="F75" s="17" t="str">
        <f t="shared" si="1"/>
        <v>Kathy</v>
      </c>
      <c r="G75" s="18">
        <f t="shared" si="148"/>
        <v>160</v>
      </c>
      <c r="H75" s="17">
        <f t="shared" si="149"/>
        <v>20</v>
      </c>
      <c r="I75" s="17"/>
      <c r="J75" s="17"/>
      <c r="K75" s="24"/>
      <c r="L75" s="24"/>
      <c r="M75" s="20">
        <f t="shared" ref="M75:N75" si="294">IF($D75="Full Time",8,"")</f>
        <v>8</v>
      </c>
      <c r="N75" s="20">
        <f t="shared" si="294"/>
        <v>8</v>
      </c>
      <c r="O75" s="18" t="b">
        <v>1</v>
      </c>
      <c r="P75" s="20">
        <f t="shared" ref="P75:R75" si="295">IF($D75="Full Time",8,"")</f>
        <v>8</v>
      </c>
      <c r="Q75" s="20">
        <f t="shared" si="295"/>
        <v>8</v>
      </c>
      <c r="R75" s="20">
        <f t="shared" si="295"/>
        <v>8</v>
      </c>
      <c r="S75" s="21"/>
      <c r="T75" s="21"/>
      <c r="U75" s="20">
        <f t="shared" ref="U75:Y75" si="296">IF($D75="Full Time",8,"")</f>
        <v>8</v>
      </c>
      <c r="V75" s="20">
        <f t="shared" si="296"/>
        <v>8</v>
      </c>
      <c r="W75" s="20">
        <f t="shared" si="296"/>
        <v>8</v>
      </c>
      <c r="X75" s="20">
        <f t="shared" si="296"/>
        <v>8</v>
      </c>
      <c r="Y75" s="20">
        <f t="shared" si="296"/>
        <v>8</v>
      </c>
      <c r="Z75" s="22" t="b">
        <v>1</v>
      </c>
      <c r="AA75" s="21"/>
      <c r="AB75" s="21"/>
      <c r="AC75" s="20">
        <f t="shared" ref="AC75:AG75" si="297">IF($D75="Full Time",8,"")</f>
        <v>8</v>
      </c>
      <c r="AD75" s="20">
        <f t="shared" si="297"/>
        <v>8</v>
      </c>
      <c r="AE75" s="20">
        <f t="shared" si="297"/>
        <v>8</v>
      </c>
      <c r="AF75" s="20">
        <f t="shared" si="297"/>
        <v>8</v>
      </c>
      <c r="AG75" s="20">
        <f t="shared" si="297"/>
        <v>8</v>
      </c>
      <c r="AH75" s="22" t="b">
        <v>1</v>
      </c>
      <c r="AI75" s="21"/>
      <c r="AJ75" s="21"/>
      <c r="AK75" s="20">
        <f t="shared" si="257"/>
        <v>8</v>
      </c>
      <c r="AL75" s="20">
        <f t="shared" si="262"/>
        <v>8</v>
      </c>
      <c r="AM75" s="20">
        <f t="shared" ref="AM75:AO75" si="298">IF($D75="Full Time",8,"")</f>
        <v>8</v>
      </c>
      <c r="AN75" s="20">
        <f t="shared" si="298"/>
        <v>8</v>
      </c>
      <c r="AO75" s="20">
        <f t="shared" si="298"/>
        <v>8</v>
      </c>
      <c r="AP75" s="22" t="b">
        <v>1</v>
      </c>
      <c r="AQ75" s="21"/>
      <c r="AR75" s="21"/>
    </row>
    <row r="76" ht="22.5" customHeight="1">
      <c r="A76" s="25" t="s">
        <v>193</v>
      </c>
      <c r="B76" s="25" t="s">
        <v>194</v>
      </c>
      <c r="C76" s="26" t="s">
        <v>71</v>
      </c>
      <c r="D76" s="15" t="s">
        <v>56</v>
      </c>
      <c r="E76" s="16" t="s">
        <v>57</v>
      </c>
      <c r="F76" s="17" t="str">
        <f t="shared" si="1"/>
        <v>Nicholas</v>
      </c>
      <c r="G76" s="18">
        <f t="shared" si="148"/>
        <v>160</v>
      </c>
      <c r="H76" s="17">
        <f t="shared" si="149"/>
        <v>20</v>
      </c>
      <c r="I76" s="17"/>
      <c r="J76" s="17"/>
      <c r="K76" s="24"/>
      <c r="L76" s="24"/>
      <c r="M76" s="20">
        <f t="shared" ref="M76:N76" si="299">IF($D76="Full Time",8,"")</f>
        <v>8</v>
      </c>
      <c r="N76" s="20">
        <f t="shared" si="299"/>
        <v>8</v>
      </c>
      <c r="O76" s="18" t="b">
        <v>1</v>
      </c>
      <c r="P76" s="20">
        <f t="shared" ref="P76:R76" si="300">IF($D76="Full Time",8,"")</f>
        <v>8</v>
      </c>
      <c r="Q76" s="20">
        <f t="shared" si="300"/>
        <v>8</v>
      </c>
      <c r="R76" s="20">
        <f t="shared" si="300"/>
        <v>8</v>
      </c>
      <c r="S76" s="21"/>
      <c r="T76" s="21"/>
      <c r="U76" s="20">
        <f t="shared" ref="U76:Y76" si="301">IF($D76="Full Time",8,"")</f>
        <v>8</v>
      </c>
      <c r="V76" s="20">
        <f t="shared" si="301"/>
        <v>8</v>
      </c>
      <c r="W76" s="20">
        <f t="shared" si="301"/>
        <v>8</v>
      </c>
      <c r="X76" s="20">
        <f t="shared" si="301"/>
        <v>8</v>
      </c>
      <c r="Y76" s="20">
        <f t="shared" si="301"/>
        <v>8</v>
      </c>
      <c r="Z76" s="22" t="b">
        <v>1</v>
      </c>
      <c r="AA76" s="21"/>
      <c r="AB76" s="21"/>
      <c r="AC76" s="20">
        <f t="shared" ref="AC76:AG76" si="302">IF($D76="Full Time",8,"")</f>
        <v>8</v>
      </c>
      <c r="AD76" s="20">
        <f t="shared" si="302"/>
        <v>8</v>
      </c>
      <c r="AE76" s="20">
        <f t="shared" si="302"/>
        <v>8</v>
      </c>
      <c r="AF76" s="20">
        <f t="shared" si="302"/>
        <v>8</v>
      </c>
      <c r="AG76" s="20">
        <f t="shared" si="302"/>
        <v>8</v>
      </c>
      <c r="AH76" s="22" t="b">
        <v>1</v>
      </c>
      <c r="AI76" s="21"/>
      <c r="AJ76" s="21"/>
      <c r="AK76" s="20">
        <f t="shared" si="257"/>
        <v>8</v>
      </c>
      <c r="AL76" s="20">
        <f t="shared" si="262"/>
        <v>8</v>
      </c>
      <c r="AM76" s="20">
        <f t="shared" ref="AM76:AO76" si="303">IF($D76="Full Time",8,"")</f>
        <v>8</v>
      </c>
      <c r="AN76" s="20">
        <f t="shared" si="303"/>
        <v>8</v>
      </c>
      <c r="AO76" s="20">
        <f t="shared" si="303"/>
        <v>8</v>
      </c>
      <c r="AP76" s="22" t="b">
        <v>1</v>
      </c>
      <c r="AQ76" s="21"/>
      <c r="AR76" s="21"/>
    </row>
    <row r="77" ht="22.5" customHeight="1">
      <c r="A77" s="25" t="s">
        <v>195</v>
      </c>
      <c r="B77" s="25" t="s">
        <v>196</v>
      </c>
      <c r="C77" s="26" t="s">
        <v>51</v>
      </c>
      <c r="D77" s="23" t="s">
        <v>56</v>
      </c>
      <c r="E77" s="16" t="s">
        <v>57</v>
      </c>
      <c r="F77" s="17" t="str">
        <f t="shared" si="1"/>
        <v>Arabelle</v>
      </c>
      <c r="G77" s="18">
        <f t="shared" si="148"/>
        <v>160</v>
      </c>
      <c r="H77" s="17">
        <f t="shared" si="149"/>
        <v>20</v>
      </c>
      <c r="I77" s="17"/>
      <c r="J77" s="17"/>
      <c r="K77" s="24"/>
      <c r="L77" s="24"/>
      <c r="M77" s="20">
        <f t="shared" ref="M77:N77" si="304">IF($D77="Full Time",8,"")</f>
        <v>8</v>
      </c>
      <c r="N77" s="20">
        <f t="shared" si="304"/>
        <v>8</v>
      </c>
      <c r="O77" s="18" t="b">
        <v>1</v>
      </c>
      <c r="P77" s="20">
        <f t="shared" ref="P77:R77" si="305">IF($D77="Full Time",8,"")</f>
        <v>8</v>
      </c>
      <c r="Q77" s="20">
        <f t="shared" si="305"/>
        <v>8</v>
      </c>
      <c r="R77" s="20">
        <f t="shared" si="305"/>
        <v>8</v>
      </c>
      <c r="S77" s="21"/>
      <c r="T77" s="21"/>
      <c r="U77" s="20">
        <f t="shared" ref="U77:Y77" si="306">IF($D77="Full Time",8,"")</f>
        <v>8</v>
      </c>
      <c r="V77" s="20">
        <f t="shared" si="306"/>
        <v>8</v>
      </c>
      <c r="W77" s="20">
        <f t="shared" si="306"/>
        <v>8</v>
      </c>
      <c r="X77" s="20">
        <f t="shared" si="306"/>
        <v>8</v>
      </c>
      <c r="Y77" s="20">
        <f t="shared" si="306"/>
        <v>8</v>
      </c>
      <c r="Z77" s="22" t="b">
        <v>1</v>
      </c>
      <c r="AA77" s="21"/>
      <c r="AB77" s="21"/>
      <c r="AC77" s="20">
        <f t="shared" ref="AC77:AG77" si="307">IF($D77="Full Time",8,"")</f>
        <v>8</v>
      </c>
      <c r="AD77" s="20">
        <f t="shared" si="307"/>
        <v>8</v>
      </c>
      <c r="AE77" s="20">
        <f t="shared" si="307"/>
        <v>8</v>
      </c>
      <c r="AF77" s="20">
        <f t="shared" si="307"/>
        <v>8</v>
      </c>
      <c r="AG77" s="20">
        <f t="shared" si="307"/>
        <v>8</v>
      </c>
      <c r="AH77" s="22" t="b">
        <v>1</v>
      </c>
      <c r="AI77" s="21"/>
      <c r="AJ77" s="21"/>
      <c r="AK77" s="20">
        <f t="shared" si="257"/>
        <v>8</v>
      </c>
      <c r="AL77" s="20">
        <f t="shared" si="262"/>
        <v>8</v>
      </c>
      <c r="AM77" s="20">
        <f t="shared" ref="AM77:AO77" si="308">IF($D77="Full Time",8,"")</f>
        <v>8</v>
      </c>
      <c r="AN77" s="20">
        <f t="shared" si="308"/>
        <v>8</v>
      </c>
      <c r="AO77" s="20">
        <f t="shared" si="308"/>
        <v>8</v>
      </c>
      <c r="AP77" s="22" t="b">
        <v>1</v>
      </c>
      <c r="AQ77" s="21"/>
      <c r="AR77" s="21"/>
    </row>
    <row r="78" ht="22.5" customHeight="1">
      <c r="A78" s="25" t="s">
        <v>197</v>
      </c>
      <c r="B78" s="25" t="s">
        <v>198</v>
      </c>
      <c r="C78" s="26" t="s">
        <v>52</v>
      </c>
      <c r="D78" s="15" t="s">
        <v>56</v>
      </c>
      <c r="E78" s="16" t="s">
        <v>50</v>
      </c>
      <c r="F78" s="17" t="str">
        <f t="shared" si="1"/>
        <v>Nicholas</v>
      </c>
      <c r="G78" s="18">
        <f t="shared" si="148"/>
        <v>160</v>
      </c>
      <c r="H78" s="17">
        <f t="shared" si="149"/>
        <v>20</v>
      </c>
      <c r="I78" s="17"/>
      <c r="J78" s="17"/>
      <c r="K78" s="24"/>
      <c r="L78" s="24"/>
      <c r="M78" s="20">
        <f t="shared" ref="M78:N78" si="309">IF($D78="Full Time",8,"")</f>
        <v>8</v>
      </c>
      <c r="N78" s="20">
        <f t="shared" si="309"/>
        <v>8</v>
      </c>
      <c r="O78" s="18" t="b">
        <v>1</v>
      </c>
      <c r="P78" s="20">
        <f t="shared" ref="P78:R78" si="310">IF($D78="Full Time",8,"")</f>
        <v>8</v>
      </c>
      <c r="Q78" s="20">
        <f t="shared" si="310"/>
        <v>8</v>
      </c>
      <c r="R78" s="20">
        <f t="shared" si="310"/>
        <v>8</v>
      </c>
      <c r="S78" s="21"/>
      <c r="T78" s="21"/>
      <c r="U78" s="20">
        <f t="shared" ref="U78:Y78" si="311">IF($D78="Full Time",8,"")</f>
        <v>8</v>
      </c>
      <c r="V78" s="20">
        <f t="shared" si="311"/>
        <v>8</v>
      </c>
      <c r="W78" s="20">
        <f t="shared" si="311"/>
        <v>8</v>
      </c>
      <c r="X78" s="20">
        <f t="shared" si="311"/>
        <v>8</v>
      </c>
      <c r="Y78" s="20">
        <f t="shared" si="311"/>
        <v>8</v>
      </c>
      <c r="Z78" s="22" t="b">
        <v>1</v>
      </c>
      <c r="AA78" s="21"/>
      <c r="AB78" s="21"/>
      <c r="AC78" s="20">
        <f t="shared" ref="AC78:AG78" si="312">IF($D78="Full Time",8,"")</f>
        <v>8</v>
      </c>
      <c r="AD78" s="20">
        <f t="shared" si="312"/>
        <v>8</v>
      </c>
      <c r="AE78" s="20">
        <f t="shared" si="312"/>
        <v>8</v>
      </c>
      <c r="AF78" s="20">
        <f t="shared" si="312"/>
        <v>8</v>
      </c>
      <c r="AG78" s="20">
        <f t="shared" si="312"/>
        <v>8</v>
      </c>
      <c r="AH78" s="22" t="b">
        <v>1</v>
      </c>
      <c r="AI78" s="21"/>
      <c r="AJ78" s="21"/>
      <c r="AK78" s="20">
        <f t="shared" si="257"/>
        <v>8</v>
      </c>
      <c r="AL78" s="20">
        <f t="shared" si="262"/>
        <v>8</v>
      </c>
      <c r="AM78" s="20">
        <f t="shared" ref="AM78:AO78" si="313">IF($D78="Full Time",8,"")</f>
        <v>8</v>
      </c>
      <c r="AN78" s="20">
        <f t="shared" si="313"/>
        <v>8</v>
      </c>
      <c r="AO78" s="20">
        <f t="shared" si="313"/>
        <v>8</v>
      </c>
      <c r="AP78" s="22" t="b">
        <v>1</v>
      </c>
      <c r="AQ78" s="21"/>
      <c r="AR78" s="21"/>
    </row>
    <row r="79" ht="22.5" customHeight="1">
      <c r="A79" s="25" t="s">
        <v>199</v>
      </c>
      <c r="B79" s="25" t="s">
        <v>200</v>
      </c>
      <c r="C79" s="26" t="s">
        <v>60</v>
      </c>
      <c r="D79" s="15" t="s">
        <v>56</v>
      </c>
      <c r="E79" s="16" t="s">
        <v>57</v>
      </c>
      <c r="F79" s="17" t="str">
        <f t="shared" si="1"/>
        <v>Nicholas</v>
      </c>
      <c r="G79" s="18">
        <f t="shared" si="148"/>
        <v>160</v>
      </c>
      <c r="H79" s="17">
        <f t="shared" si="149"/>
        <v>20</v>
      </c>
      <c r="I79" s="17"/>
      <c r="J79" s="17"/>
      <c r="K79" s="24"/>
      <c r="L79" s="24"/>
      <c r="M79" s="20">
        <f t="shared" ref="M79:N79" si="314">IF($D79="Full Time",8,"")</f>
        <v>8</v>
      </c>
      <c r="N79" s="20">
        <f t="shared" si="314"/>
        <v>8</v>
      </c>
      <c r="O79" s="18" t="b">
        <v>1</v>
      </c>
      <c r="P79" s="20">
        <f t="shared" ref="P79:R79" si="315">IF($D79="Full Time",8,"")</f>
        <v>8</v>
      </c>
      <c r="Q79" s="20">
        <f t="shared" si="315"/>
        <v>8</v>
      </c>
      <c r="R79" s="20">
        <f t="shared" si="315"/>
        <v>8</v>
      </c>
      <c r="S79" s="21"/>
      <c r="T79" s="21"/>
      <c r="U79" s="20">
        <f t="shared" ref="U79:Y79" si="316">IF($D79="Full Time",8,"")</f>
        <v>8</v>
      </c>
      <c r="V79" s="20">
        <f t="shared" si="316"/>
        <v>8</v>
      </c>
      <c r="W79" s="20">
        <f t="shared" si="316"/>
        <v>8</v>
      </c>
      <c r="X79" s="20">
        <f t="shared" si="316"/>
        <v>8</v>
      </c>
      <c r="Y79" s="20">
        <f t="shared" si="316"/>
        <v>8</v>
      </c>
      <c r="Z79" s="22" t="b">
        <v>1</v>
      </c>
      <c r="AA79" s="21"/>
      <c r="AB79" s="21"/>
      <c r="AC79" s="20">
        <f t="shared" ref="AC79:AG79" si="317">IF($D79="Full Time",8,"")</f>
        <v>8</v>
      </c>
      <c r="AD79" s="20">
        <f t="shared" si="317"/>
        <v>8</v>
      </c>
      <c r="AE79" s="20">
        <f t="shared" si="317"/>
        <v>8</v>
      </c>
      <c r="AF79" s="20">
        <f t="shared" si="317"/>
        <v>8</v>
      </c>
      <c r="AG79" s="20">
        <f t="shared" si="317"/>
        <v>8</v>
      </c>
      <c r="AH79" s="22" t="b">
        <v>1</v>
      </c>
      <c r="AI79" s="21"/>
      <c r="AJ79" s="21"/>
      <c r="AK79" s="20">
        <f t="shared" si="257"/>
        <v>8</v>
      </c>
      <c r="AL79" s="20">
        <f t="shared" si="262"/>
        <v>8</v>
      </c>
      <c r="AM79" s="20">
        <f t="shared" ref="AM79:AO79" si="318">IF($D79="Full Time",8,"")</f>
        <v>8</v>
      </c>
      <c r="AN79" s="20">
        <f t="shared" si="318"/>
        <v>8</v>
      </c>
      <c r="AO79" s="20">
        <f t="shared" si="318"/>
        <v>8</v>
      </c>
      <c r="AP79" s="22" t="b">
        <v>1</v>
      </c>
      <c r="AQ79" s="21"/>
      <c r="AR79" s="21"/>
    </row>
    <row r="80" ht="22.5" customHeight="1">
      <c r="A80" s="25" t="s">
        <v>201</v>
      </c>
      <c r="B80" s="25" t="s">
        <v>202</v>
      </c>
      <c r="C80" s="26" t="s">
        <v>60</v>
      </c>
      <c r="D80" s="15" t="s">
        <v>56</v>
      </c>
      <c r="E80" s="16" t="s">
        <v>57</v>
      </c>
      <c r="F80" s="17" t="str">
        <f t="shared" si="1"/>
        <v>Nicholas</v>
      </c>
      <c r="G80" s="18">
        <f t="shared" si="148"/>
        <v>160</v>
      </c>
      <c r="H80" s="17">
        <f t="shared" si="149"/>
        <v>20</v>
      </c>
      <c r="I80" s="17"/>
      <c r="J80" s="17"/>
      <c r="K80" s="24"/>
      <c r="L80" s="24"/>
      <c r="M80" s="20">
        <f t="shared" ref="M80:N80" si="319">IF($D80="Full Time",8,"")</f>
        <v>8</v>
      </c>
      <c r="N80" s="20">
        <f t="shared" si="319"/>
        <v>8</v>
      </c>
      <c r="O80" s="18" t="b">
        <v>1</v>
      </c>
      <c r="P80" s="20">
        <f t="shared" ref="P80:R80" si="320">IF($D80="Full Time",8,"")</f>
        <v>8</v>
      </c>
      <c r="Q80" s="20">
        <f t="shared" si="320"/>
        <v>8</v>
      </c>
      <c r="R80" s="20">
        <f t="shared" si="320"/>
        <v>8</v>
      </c>
      <c r="S80" s="21"/>
      <c r="T80" s="21"/>
      <c r="U80" s="20">
        <f t="shared" ref="U80:Y80" si="321">IF($D80="Full Time",8,"")</f>
        <v>8</v>
      </c>
      <c r="V80" s="20">
        <f t="shared" si="321"/>
        <v>8</v>
      </c>
      <c r="W80" s="20">
        <f t="shared" si="321"/>
        <v>8</v>
      </c>
      <c r="X80" s="20">
        <f t="shared" si="321"/>
        <v>8</v>
      </c>
      <c r="Y80" s="20">
        <f t="shared" si="321"/>
        <v>8</v>
      </c>
      <c r="Z80" s="22" t="b">
        <v>1</v>
      </c>
      <c r="AA80" s="21"/>
      <c r="AB80" s="21"/>
      <c r="AC80" s="20">
        <f t="shared" ref="AC80:AG80" si="322">IF($D80="Full Time",8,"")</f>
        <v>8</v>
      </c>
      <c r="AD80" s="20">
        <f t="shared" si="322"/>
        <v>8</v>
      </c>
      <c r="AE80" s="20">
        <f t="shared" si="322"/>
        <v>8</v>
      </c>
      <c r="AF80" s="20">
        <f t="shared" si="322"/>
        <v>8</v>
      </c>
      <c r="AG80" s="20">
        <f t="shared" si="322"/>
        <v>8</v>
      </c>
      <c r="AH80" s="22" t="b">
        <v>1</v>
      </c>
      <c r="AI80" s="21"/>
      <c r="AJ80" s="21"/>
      <c r="AK80" s="20">
        <f t="shared" si="257"/>
        <v>8</v>
      </c>
      <c r="AL80" s="20">
        <f t="shared" si="262"/>
        <v>8</v>
      </c>
      <c r="AM80" s="20">
        <f t="shared" ref="AM80:AO80" si="323">IF($D80="Full Time",8,"")</f>
        <v>8</v>
      </c>
      <c r="AN80" s="20">
        <f t="shared" si="323"/>
        <v>8</v>
      </c>
      <c r="AO80" s="20">
        <f t="shared" si="323"/>
        <v>8</v>
      </c>
      <c r="AP80" s="22" t="b">
        <v>1</v>
      </c>
      <c r="AQ80" s="21"/>
      <c r="AR80" s="21"/>
    </row>
    <row r="81" ht="22.5" customHeight="1">
      <c r="A81" s="25" t="s">
        <v>203</v>
      </c>
      <c r="B81" s="25" t="s">
        <v>204</v>
      </c>
      <c r="C81" s="26" t="s">
        <v>63</v>
      </c>
      <c r="D81" s="15" t="s">
        <v>56</v>
      </c>
      <c r="E81" s="32"/>
      <c r="F81" s="17" t="str">
        <f t="shared" si="1"/>
        <v>Ean</v>
      </c>
      <c r="G81" s="18">
        <f t="shared" si="148"/>
        <v>160</v>
      </c>
      <c r="H81" s="17">
        <f t="shared" si="149"/>
        <v>20</v>
      </c>
      <c r="I81" s="17"/>
      <c r="J81" s="17"/>
      <c r="K81" s="24"/>
      <c r="L81" s="24"/>
      <c r="M81" s="20">
        <f t="shared" ref="M81:N81" si="324">IF($D81="Full Time",8,"")</f>
        <v>8</v>
      </c>
      <c r="N81" s="20">
        <f t="shared" si="324"/>
        <v>8</v>
      </c>
      <c r="O81" s="18" t="b">
        <v>1</v>
      </c>
      <c r="P81" s="20">
        <f t="shared" ref="P81:R81" si="325">IF($D81="Full Time",8,"")</f>
        <v>8</v>
      </c>
      <c r="Q81" s="20">
        <f t="shared" si="325"/>
        <v>8</v>
      </c>
      <c r="R81" s="20">
        <f t="shared" si="325"/>
        <v>8</v>
      </c>
      <c r="S81" s="21"/>
      <c r="T81" s="21"/>
      <c r="U81" s="20">
        <f t="shared" ref="U81:Y81" si="326">IF($D81="Full Time",8,"")</f>
        <v>8</v>
      </c>
      <c r="V81" s="20">
        <f t="shared" si="326"/>
        <v>8</v>
      </c>
      <c r="W81" s="20">
        <f t="shared" si="326"/>
        <v>8</v>
      </c>
      <c r="X81" s="20">
        <f t="shared" si="326"/>
        <v>8</v>
      </c>
      <c r="Y81" s="20">
        <f t="shared" si="326"/>
        <v>8</v>
      </c>
      <c r="Z81" s="22" t="b">
        <v>1</v>
      </c>
      <c r="AA81" s="21"/>
      <c r="AB81" s="21"/>
      <c r="AC81" s="20">
        <f t="shared" ref="AC81:AG81" si="327">IF($D81="Full Time",8,"")</f>
        <v>8</v>
      </c>
      <c r="AD81" s="20">
        <f t="shared" si="327"/>
        <v>8</v>
      </c>
      <c r="AE81" s="20">
        <f t="shared" si="327"/>
        <v>8</v>
      </c>
      <c r="AF81" s="20">
        <f t="shared" si="327"/>
        <v>8</v>
      </c>
      <c r="AG81" s="20">
        <f t="shared" si="327"/>
        <v>8</v>
      </c>
      <c r="AH81" s="22" t="b">
        <v>1</v>
      </c>
      <c r="AI81" s="21"/>
      <c r="AJ81" s="21"/>
      <c r="AK81" s="20">
        <f t="shared" si="257"/>
        <v>8</v>
      </c>
      <c r="AL81" s="20">
        <f t="shared" si="262"/>
        <v>8</v>
      </c>
      <c r="AM81" s="20">
        <f t="shared" ref="AM81:AO81" si="328">IF($D81="Full Time",8,"")</f>
        <v>8</v>
      </c>
      <c r="AN81" s="20">
        <f t="shared" si="328"/>
        <v>8</v>
      </c>
      <c r="AO81" s="20">
        <f t="shared" si="328"/>
        <v>8</v>
      </c>
      <c r="AP81" s="22" t="b">
        <v>1</v>
      </c>
      <c r="AQ81" s="21"/>
      <c r="AR81" s="21"/>
    </row>
    <row r="82" ht="22.5" customHeight="1">
      <c r="A82" s="13" t="s">
        <v>205</v>
      </c>
      <c r="B82" s="13" t="s">
        <v>206</v>
      </c>
      <c r="C82" s="14" t="s">
        <v>207</v>
      </c>
      <c r="D82" s="15" t="s">
        <v>49</v>
      </c>
      <c r="E82" s="16" t="s">
        <v>57</v>
      </c>
      <c r="F82" s="17" t="str">
        <f t="shared" si="1"/>
        <v>Nicholas</v>
      </c>
      <c r="G82" s="18">
        <f t="shared" si="148"/>
        <v>80</v>
      </c>
      <c r="H82" s="17">
        <f t="shared" si="149"/>
        <v>10</v>
      </c>
      <c r="I82" s="17"/>
      <c r="J82" s="17"/>
      <c r="K82" s="24"/>
      <c r="L82" s="24"/>
      <c r="M82" s="20">
        <v>4.0</v>
      </c>
      <c r="N82" s="20">
        <v>4.0</v>
      </c>
      <c r="O82" s="18" t="b">
        <v>1</v>
      </c>
      <c r="P82" s="20">
        <v>4.0</v>
      </c>
      <c r="Q82" s="20">
        <v>4.0</v>
      </c>
      <c r="R82" s="20">
        <v>4.0</v>
      </c>
      <c r="S82" s="21"/>
      <c r="T82" s="21"/>
      <c r="U82" s="20">
        <v>4.0</v>
      </c>
      <c r="V82" s="20">
        <v>4.0</v>
      </c>
      <c r="W82" s="20">
        <v>4.0</v>
      </c>
      <c r="X82" s="20">
        <v>4.0</v>
      </c>
      <c r="Y82" s="20">
        <v>4.0</v>
      </c>
      <c r="Z82" s="22" t="b">
        <v>1</v>
      </c>
      <c r="AA82" s="21"/>
      <c r="AB82" s="21"/>
      <c r="AC82" s="20">
        <v>4.0</v>
      </c>
      <c r="AD82" s="20">
        <v>4.0</v>
      </c>
      <c r="AE82" s="20">
        <v>4.0</v>
      </c>
      <c r="AF82" s="20">
        <v>4.0</v>
      </c>
      <c r="AG82" s="20">
        <v>4.0</v>
      </c>
      <c r="AH82" s="22" t="b">
        <v>1</v>
      </c>
      <c r="AI82" s="21"/>
      <c r="AJ82" s="21"/>
      <c r="AK82" s="20">
        <v>4.0</v>
      </c>
      <c r="AL82" s="20">
        <v>4.0</v>
      </c>
      <c r="AM82" s="20">
        <v>4.0</v>
      </c>
      <c r="AN82" s="20">
        <v>4.0</v>
      </c>
      <c r="AO82" s="20">
        <v>4.0</v>
      </c>
      <c r="AP82" s="22" t="b">
        <v>1</v>
      </c>
      <c r="AQ82" s="21"/>
      <c r="AR82" s="21"/>
    </row>
    <row r="83" ht="22.5" customHeight="1">
      <c r="A83" s="13" t="s">
        <v>205</v>
      </c>
      <c r="B83" s="13" t="s">
        <v>206</v>
      </c>
      <c r="C83" s="13" t="s">
        <v>63</v>
      </c>
      <c r="D83" s="23" t="s">
        <v>49</v>
      </c>
      <c r="E83" s="32"/>
      <c r="F83" s="17" t="str">
        <f t="shared" si="1"/>
        <v>Ean</v>
      </c>
      <c r="G83" s="18">
        <f t="shared" si="148"/>
        <v>80</v>
      </c>
      <c r="H83" s="17">
        <f t="shared" si="149"/>
        <v>10</v>
      </c>
      <c r="I83" s="17"/>
      <c r="J83" s="17"/>
      <c r="K83" s="24"/>
      <c r="L83" s="24"/>
      <c r="M83" s="20">
        <v>4.0</v>
      </c>
      <c r="N83" s="20">
        <v>4.0</v>
      </c>
      <c r="O83" s="18" t="b">
        <v>1</v>
      </c>
      <c r="P83" s="20">
        <v>4.0</v>
      </c>
      <c r="Q83" s="20">
        <v>4.0</v>
      </c>
      <c r="R83" s="20">
        <v>4.0</v>
      </c>
      <c r="S83" s="21"/>
      <c r="T83" s="21"/>
      <c r="U83" s="20">
        <v>4.0</v>
      </c>
      <c r="V83" s="20">
        <v>4.0</v>
      </c>
      <c r="W83" s="20">
        <v>4.0</v>
      </c>
      <c r="X83" s="20">
        <v>4.0</v>
      </c>
      <c r="Y83" s="20">
        <v>4.0</v>
      </c>
      <c r="Z83" s="22" t="b">
        <v>1</v>
      </c>
      <c r="AA83" s="21"/>
      <c r="AB83" s="21"/>
      <c r="AC83" s="20">
        <v>4.0</v>
      </c>
      <c r="AD83" s="20">
        <v>4.0</v>
      </c>
      <c r="AE83" s="20">
        <v>4.0</v>
      </c>
      <c r="AF83" s="20">
        <v>4.0</v>
      </c>
      <c r="AG83" s="20">
        <v>4.0</v>
      </c>
      <c r="AH83" s="22" t="b">
        <v>1</v>
      </c>
      <c r="AI83" s="21"/>
      <c r="AJ83" s="21"/>
      <c r="AK83" s="20">
        <v>4.0</v>
      </c>
      <c r="AL83" s="20">
        <v>4.0</v>
      </c>
      <c r="AM83" s="20">
        <v>4.0</v>
      </c>
      <c r="AN83" s="20">
        <v>4.0</v>
      </c>
      <c r="AO83" s="20">
        <v>4.0</v>
      </c>
      <c r="AP83" s="22" t="b">
        <v>1</v>
      </c>
      <c r="AQ83" s="21"/>
      <c r="AR83" s="21"/>
    </row>
    <row r="84" ht="22.5" customHeight="1">
      <c r="A84" s="25" t="s">
        <v>208</v>
      </c>
      <c r="B84" s="25" t="s">
        <v>209</v>
      </c>
      <c r="C84" s="26" t="s">
        <v>60</v>
      </c>
      <c r="D84" s="15" t="s">
        <v>56</v>
      </c>
      <c r="E84" s="16" t="s">
        <v>57</v>
      </c>
      <c r="F84" s="17" t="str">
        <f t="shared" si="1"/>
        <v>Nicholas</v>
      </c>
      <c r="G84" s="18">
        <f t="shared" si="148"/>
        <v>160</v>
      </c>
      <c r="H84" s="17">
        <f t="shared" si="149"/>
        <v>20</v>
      </c>
      <c r="I84" s="17"/>
      <c r="J84" s="17"/>
      <c r="K84" s="24"/>
      <c r="L84" s="24"/>
      <c r="M84" s="20">
        <f t="shared" ref="M84:N84" si="329">IF($D84="Full Time",8,"")</f>
        <v>8</v>
      </c>
      <c r="N84" s="20">
        <f t="shared" si="329"/>
        <v>8</v>
      </c>
      <c r="O84" s="18" t="b">
        <v>1</v>
      </c>
      <c r="P84" s="20">
        <f t="shared" ref="P84:R84" si="330">IF($D84="Full Time",8,"")</f>
        <v>8</v>
      </c>
      <c r="Q84" s="20">
        <f t="shared" si="330"/>
        <v>8</v>
      </c>
      <c r="R84" s="20">
        <f t="shared" si="330"/>
        <v>8</v>
      </c>
      <c r="S84" s="21"/>
      <c r="T84" s="21"/>
      <c r="U84" s="20">
        <f t="shared" ref="U84:Y84" si="331">IF($D84="Full Time",8,"")</f>
        <v>8</v>
      </c>
      <c r="V84" s="20">
        <f t="shared" si="331"/>
        <v>8</v>
      </c>
      <c r="W84" s="20">
        <f t="shared" si="331"/>
        <v>8</v>
      </c>
      <c r="X84" s="20">
        <f t="shared" si="331"/>
        <v>8</v>
      </c>
      <c r="Y84" s="20">
        <f t="shared" si="331"/>
        <v>8</v>
      </c>
      <c r="Z84" s="22" t="b">
        <v>1</v>
      </c>
      <c r="AA84" s="21"/>
      <c r="AB84" s="21"/>
      <c r="AC84" s="20">
        <f t="shared" ref="AC84:AG84" si="332">IF($D84="Full Time",8,"")</f>
        <v>8</v>
      </c>
      <c r="AD84" s="20">
        <f t="shared" si="332"/>
        <v>8</v>
      </c>
      <c r="AE84" s="20">
        <f t="shared" si="332"/>
        <v>8</v>
      </c>
      <c r="AF84" s="20">
        <f t="shared" si="332"/>
        <v>8</v>
      </c>
      <c r="AG84" s="20">
        <f t="shared" si="332"/>
        <v>8</v>
      </c>
      <c r="AH84" s="22" t="b">
        <v>1</v>
      </c>
      <c r="AI84" s="21"/>
      <c r="AJ84" s="21"/>
      <c r="AK84" s="20">
        <f t="shared" ref="AK84:AO84" si="333">IF($D84="Full Time",8,"")</f>
        <v>8</v>
      </c>
      <c r="AL84" s="20">
        <f t="shared" si="333"/>
        <v>8</v>
      </c>
      <c r="AM84" s="20">
        <f t="shared" si="333"/>
        <v>8</v>
      </c>
      <c r="AN84" s="20">
        <f t="shared" si="333"/>
        <v>8</v>
      </c>
      <c r="AO84" s="20">
        <f t="shared" si="333"/>
        <v>8</v>
      </c>
      <c r="AP84" s="22" t="b">
        <v>1</v>
      </c>
      <c r="AQ84" s="21"/>
      <c r="AR84" s="21"/>
    </row>
    <row r="85" ht="22.5" customHeight="1">
      <c r="A85" s="25" t="s">
        <v>210</v>
      </c>
      <c r="B85" s="25" t="s">
        <v>211</v>
      </c>
      <c r="C85" s="26" t="s">
        <v>55</v>
      </c>
      <c r="D85" s="15" t="s">
        <v>56</v>
      </c>
      <c r="E85" s="16" t="s">
        <v>57</v>
      </c>
      <c r="F85" s="17" t="str">
        <f t="shared" si="1"/>
        <v>Kathy</v>
      </c>
      <c r="G85" s="18">
        <f t="shared" si="148"/>
        <v>160</v>
      </c>
      <c r="H85" s="17">
        <f t="shared" si="149"/>
        <v>20</v>
      </c>
      <c r="I85" s="17"/>
      <c r="J85" s="17"/>
      <c r="K85" s="24"/>
      <c r="L85" s="24"/>
      <c r="M85" s="20">
        <f t="shared" ref="M85:N85" si="334">IF($D85="Full Time",8,"")</f>
        <v>8</v>
      </c>
      <c r="N85" s="20">
        <f t="shared" si="334"/>
        <v>8</v>
      </c>
      <c r="O85" s="18" t="b">
        <v>1</v>
      </c>
      <c r="P85" s="20">
        <f t="shared" ref="P85:R85" si="335">IF($D85="Full Time",8,"")</f>
        <v>8</v>
      </c>
      <c r="Q85" s="20">
        <f t="shared" si="335"/>
        <v>8</v>
      </c>
      <c r="R85" s="20">
        <f t="shared" si="335"/>
        <v>8</v>
      </c>
      <c r="S85" s="21"/>
      <c r="T85" s="21"/>
      <c r="U85" s="20">
        <f t="shared" ref="U85:Y85" si="336">IF($D85="Full Time",8,"")</f>
        <v>8</v>
      </c>
      <c r="V85" s="20">
        <f t="shared" si="336"/>
        <v>8</v>
      </c>
      <c r="W85" s="20">
        <f t="shared" si="336"/>
        <v>8</v>
      </c>
      <c r="X85" s="20">
        <f t="shared" si="336"/>
        <v>8</v>
      </c>
      <c r="Y85" s="20">
        <f t="shared" si="336"/>
        <v>8</v>
      </c>
      <c r="Z85" s="22" t="b">
        <v>1</v>
      </c>
      <c r="AA85" s="21"/>
      <c r="AB85" s="21"/>
      <c r="AC85" s="20">
        <f t="shared" ref="AC85:AG85" si="337">IF($D85="Full Time",8,"")</f>
        <v>8</v>
      </c>
      <c r="AD85" s="20">
        <f t="shared" si="337"/>
        <v>8</v>
      </c>
      <c r="AE85" s="20">
        <f t="shared" si="337"/>
        <v>8</v>
      </c>
      <c r="AF85" s="20">
        <f t="shared" si="337"/>
        <v>8</v>
      </c>
      <c r="AG85" s="20">
        <f t="shared" si="337"/>
        <v>8</v>
      </c>
      <c r="AH85" s="22" t="b">
        <v>1</v>
      </c>
      <c r="AI85" s="21"/>
      <c r="AJ85" s="21"/>
      <c r="AK85" s="20">
        <f t="shared" ref="AK85:AO85" si="338">IF($D85="Full Time",8,"")</f>
        <v>8</v>
      </c>
      <c r="AL85" s="20">
        <f t="shared" si="338"/>
        <v>8</v>
      </c>
      <c r="AM85" s="20">
        <f t="shared" si="338"/>
        <v>8</v>
      </c>
      <c r="AN85" s="20">
        <f t="shared" si="338"/>
        <v>8</v>
      </c>
      <c r="AO85" s="20">
        <f t="shared" si="338"/>
        <v>8</v>
      </c>
      <c r="AP85" s="22" t="b">
        <v>1</v>
      </c>
      <c r="AQ85" s="21"/>
      <c r="AR85" s="21"/>
    </row>
    <row r="86" ht="22.5" customHeight="1">
      <c r="A86" s="25" t="s">
        <v>212</v>
      </c>
      <c r="B86" s="25" t="s">
        <v>213</v>
      </c>
      <c r="C86" s="25" t="s">
        <v>51</v>
      </c>
      <c r="D86" s="15" t="s">
        <v>56</v>
      </c>
      <c r="E86" s="16" t="s">
        <v>50</v>
      </c>
      <c r="F86" s="17" t="str">
        <f t="shared" si="1"/>
        <v>Arabelle</v>
      </c>
      <c r="G86" s="18">
        <f t="shared" si="148"/>
        <v>160</v>
      </c>
      <c r="H86" s="17">
        <f t="shared" si="149"/>
        <v>20</v>
      </c>
      <c r="I86" s="17"/>
      <c r="J86" s="17"/>
      <c r="K86" s="24"/>
      <c r="L86" s="24"/>
      <c r="M86" s="20">
        <f t="shared" ref="M86:N86" si="339">IF($D86="Full Time",8,"")</f>
        <v>8</v>
      </c>
      <c r="N86" s="20">
        <f t="shared" si="339"/>
        <v>8</v>
      </c>
      <c r="O86" s="18" t="b">
        <v>1</v>
      </c>
      <c r="P86" s="20">
        <f t="shared" ref="P86:R86" si="340">IF($D86="Full Time",8,"")</f>
        <v>8</v>
      </c>
      <c r="Q86" s="20">
        <f t="shared" si="340"/>
        <v>8</v>
      </c>
      <c r="R86" s="20">
        <f t="shared" si="340"/>
        <v>8</v>
      </c>
      <c r="S86" s="21"/>
      <c r="T86" s="21"/>
      <c r="U86" s="20">
        <f t="shared" ref="U86:Y86" si="341">IF($D86="Full Time",8,"")</f>
        <v>8</v>
      </c>
      <c r="V86" s="20">
        <f t="shared" si="341"/>
        <v>8</v>
      </c>
      <c r="W86" s="20">
        <f t="shared" si="341"/>
        <v>8</v>
      </c>
      <c r="X86" s="20">
        <f t="shared" si="341"/>
        <v>8</v>
      </c>
      <c r="Y86" s="20">
        <f t="shared" si="341"/>
        <v>8</v>
      </c>
      <c r="Z86" s="22" t="b">
        <v>1</v>
      </c>
      <c r="AA86" s="21"/>
      <c r="AB86" s="21"/>
      <c r="AC86" s="20">
        <f t="shared" ref="AC86:AG86" si="342">IF($D86="Full Time",8,"")</f>
        <v>8</v>
      </c>
      <c r="AD86" s="20">
        <f t="shared" si="342"/>
        <v>8</v>
      </c>
      <c r="AE86" s="20">
        <f t="shared" si="342"/>
        <v>8</v>
      </c>
      <c r="AF86" s="20">
        <f t="shared" si="342"/>
        <v>8</v>
      </c>
      <c r="AG86" s="20">
        <f t="shared" si="342"/>
        <v>8</v>
      </c>
      <c r="AH86" s="22" t="b">
        <v>1</v>
      </c>
      <c r="AI86" s="21"/>
      <c r="AJ86" s="21"/>
      <c r="AK86" s="20">
        <f t="shared" ref="AK86:AO86" si="343">IF($D86="Full Time",8,"")</f>
        <v>8</v>
      </c>
      <c r="AL86" s="20">
        <f t="shared" si="343"/>
        <v>8</v>
      </c>
      <c r="AM86" s="20">
        <f t="shared" si="343"/>
        <v>8</v>
      </c>
      <c r="AN86" s="20">
        <f t="shared" si="343"/>
        <v>8</v>
      </c>
      <c r="AO86" s="20">
        <f t="shared" si="343"/>
        <v>8</v>
      </c>
      <c r="AP86" s="22" t="b">
        <v>1</v>
      </c>
      <c r="AQ86" s="21"/>
      <c r="AR86" s="21"/>
    </row>
    <row r="87" ht="22.5" customHeight="1">
      <c r="A87" s="25" t="s">
        <v>214</v>
      </c>
      <c r="B87" s="25" t="s">
        <v>215</v>
      </c>
      <c r="C87" s="26" t="s">
        <v>55</v>
      </c>
      <c r="D87" s="15" t="s">
        <v>56</v>
      </c>
      <c r="E87" s="16" t="s">
        <v>57</v>
      </c>
      <c r="F87" s="17" t="str">
        <f t="shared" si="1"/>
        <v>Kathy</v>
      </c>
      <c r="G87" s="18">
        <f t="shared" si="148"/>
        <v>160</v>
      </c>
      <c r="H87" s="17">
        <f t="shared" si="149"/>
        <v>20</v>
      </c>
      <c r="I87" s="17"/>
      <c r="J87" s="17"/>
      <c r="K87" s="24"/>
      <c r="L87" s="24"/>
      <c r="M87" s="20">
        <f t="shared" ref="M87:N87" si="344">IF($D87="Full Time",8,"")</f>
        <v>8</v>
      </c>
      <c r="N87" s="20">
        <f t="shared" si="344"/>
        <v>8</v>
      </c>
      <c r="O87" s="18" t="b">
        <v>1</v>
      </c>
      <c r="P87" s="20">
        <f t="shared" ref="P87:R87" si="345">IF($D87="Full Time",8,"")</f>
        <v>8</v>
      </c>
      <c r="Q87" s="20">
        <f t="shared" si="345"/>
        <v>8</v>
      </c>
      <c r="R87" s="20">
        <f t="shared" si="345"/>
        <v>8</v>
      </c>
      <c r="S87" s="21"/>
      <c r="T87" s="21"/>
      <c r="U87" s="20">
        <f t="shared" ref="U87:Y87" si="346">IF($D87="Full Time",8,"")</f>
        <v>8</v>
      </c>
      <c r="V87" s="20">
        <f t="shared" si="346"/>
        <v>8</v>
      </c>
      <c r="W87" s="20">
        <f t="shared" si="346"/>
        <v>8</v>
      </c>
      <c r="X87" s="20">
        <f t="shared" si="346"/>
        <v>8</v>
      </c>
      <c r="Y87" s="20">
        <f t="shared" si="346"/>
        <v>8</v>
      </c>
      <c r="Z87" s="22" t="b">
        <v>1</v>
      </c>
      <c r="AA87" s="21"/>
      <c r="AB87" s="21"/>
      <c r="AC87" s="20">
        <f t="shared" ref="AC87:AG87" si="347">IF($D87="Full Time",8,"")</f>
        <v>8</v>
      </c>
      <c r="AD87" s="20">
        <f t="shared" si="347"/>
        <v>8</v>
      </c>
      <c r="AE87" s="20">
        <f t="shared" si="347"/>
        <v>8</v>
      </c>
      <c r="AF87" s="20">
        <f t="shared" si="347"/>
        <v>8</v>
      </c>
      <c r="AG87" s="20">
        <f t="shared" si="347"/>
        <v>8</v>
      </c>
      <c r="AH87" s="22" t="b">
        <v>1</v>
      </c>
      <c r="AI87" s="21"/>
      <c r="AJ87" s="21"/>
      <c r="AK87" s="20">
        <f t="shared" ref="AK87:AO87" si="348">IF($D87="Full Time",8,"")</f>
        <v>8</v>
      </c>
      <c r="AL87" s="20">
        <f t="shared" si="348"/>
        <v>8</v>
      </c>
      <c r="AM87" s="20">
        <f t="shared" si="348"/>
        <v>8</v>
      </c>
      <c r="AN87" s="20">
        <f t="shared" si="348"/>
        <v>8</v>
      </c>
      <c r="AO87" s="20">
        <f t="shared" si="348"/>
        <v>8</v>
      </c>
      <c r="AP87" s="22" t="b">
        <v>1</v>
      </c>
      <c r="AQ87" s="21"/>
      <c r="AR87" s="21"/>
    </row>
    <row r="88" ht="22.5" customHeight="1">
      <c r="A88" s="13" t="s">
        <v>216</v>
      </c>
      <c r="B88" s="13" t="s">
        <v>217</v>
      </c>
      <c r="C88" s="13" t="s">
        <v>218</v>
      </c>
      <c r="D88" s="15" t="s">
        <v>49</v>
      </c>
      <c r="E88" s="16" t="s">
        <v>50</v>
      </c>
      <c r="F88" s="17" t="str">
        <f t="shared" si="1"/>
        <v>Rohini</v>
      </c>
      <c r="G88" s="18">
        <f t="shared" si="148"/>
        <v>80</v>
      </c>
      <c r="H88" s="17">
        <f t="shared" si="149"/>
        <v>10</v>
      </c>
      <c r="I88" s="17"/>
      <c r="J88" s="17"/>
      <c r="K88" s="24"/>
      <c r="L88" s="24"/>
      <c r="M88" s="20">
        <v>4.0</v>
      </c>
      <c r="N88" s="20">
        <v>4.0</v>
      </c>
      <c r="O88" s="18" t="b">
        <v>1</v>
      </c>
      <c r="P88" s="20">
        <v>4.0</v>
      </c>
      <c r="Q88" s="20">
        <v>4.0</v>
      </c>
      <c r="R88" s="20">
        <v>4.0</v>
      </c>
      <c r="S88" s="21"/>
      <c r="T88" s="21"/>
      <c r="U88" s="20">
        <v>4.0</v>
      </c>
      <c r="V88" s="20">
        <v>4.0</v>
      </c>
      <c r="W88" s="20">
        <v>4.0</v>
      </c>
      <c r="X88" s="20">
        <v>4.0</v>
      </c>
      <c r="Y88" s="20">
        <v>4.0</v>
      </c>
      <c r="Z88" s="22" t="b">
        <v>1</v>
      </c>
      <c r="AA88" s="21"/>
      <c r="AB88" s="21"/>
      <c r="AC88" s="20">
        <v>4.0</v>
      </c>
      <c r="AD88" s="20">
        <v>4.0</v>
      </c>
      <c r="AE88" s="20">
        <v>4.0</v>
      </c>
      <c r="AF88" s="20">
        <v>4.0</v>
      </c>
      <c r="AG88" s="20">
        <v>4.0</v>
      </c>
      <c r="AH88" s="22" t="b">
        <v>1</v>
      </c>
      <c r="AI88" s="21"/>
      <c r="AJ88" s="21"/>
      <c r="AK88" s="20">
        <v>4.0</v>
      </c>
      <c r="AL88" s="20">
        <v>4.0</v>
      </c>
      <c r="AM88" s="20">
        <v>4.0</v>
      </c>
      <c r="AN88" s="20">
        <v>4.0</v>
      </c>
      <c r="AO88" s="20">
        <v>4.0</v>
      </c>
      <c r="AP88" s="22" t="b">
        <v>1</v>
      </c>
      <c r="AQ88" s="21"/>
      <c r="AR88" s="21"/>
    </row>
    <row r="89" ht="22.5" customHeight="1">
      <c r="A89" s="13" t="s">
        <v>216</v>
      </c>
      <c r="B89" s="13" t="s">
        <v>217</v>
      </c>
      <c r="C89" s="13" t="s">
        <v>48</v>
      </c>
      <c r="D89" s="23" t="s">
        <v>49</v>
      </c>
      <c r="E89" s="16" t="s">
        <v>50</v>
      </c>
      <c r="F89" s="17" t="str">
        <f t="shared" si="1"/>
        <v>Rohini</v>
      </c>
      <c r="G89" s="18">
        <f t="shared" si="148"/>
        <v>80</v>
      </c>
      <c r="H89" s="17">
        <f t="shared" si="149"/>
        <v>10</v>
      </c>
      <c r="I89" s="17"/>
      <c r="J89" s="17"/>
      <c r="K89" s="24"/>
      <c r="L89" s="24"/>
      <c r="M89" s="20">
        <v>4.0</v>
      </c>
      <c r="N89" s="20">
        <v>4.0</v>
      </c>
      <c r="O89" s="18" t="b">
        <v>1</v>
      </c>
      <c r="P89" s="20">
        <v>4.0</v>
      </c>
      <c r="Q89" s="20">
        <v>4.0</v>
      </c>
      <c r="R89" s="20">
        <v>4.0</v>
      </c>
      <c r="S89" s="21"/>
      <c r="T89" s="21"/>
      <c r="U89" s="20">
        <v>4.0</v>
      </c>
      <c r="V89" s="20">
        <v>4.0</v>
      </c>
      <c r="W89" s="20">
        <v>4.0</v>
      </c>
      <c r="X89" s="20">
        <v>4.0</v>
      </c>
      <c r="Y89" s="20">
        <v>4.0</v>
      </c>
      <c r="Z89" s="22" t="b">
        <v>1</v>
      </c>
      <c r="AA89" s="21"/>
      <c r="AB89" s="21"/>
      <c r="AC89" s="20">
        <v>4.0</v>
      </c>
      <c r="AD89" s="20">
        <v>4.0</v>
      </c>
      <c r="AE89" s="20">
        <v>4.0</v>
      </c>
      <c r="AF89" s="20">
        <v>4.0</v>
      </c>
      <c r="AG89" s="20">
        <v>4.0</v>
      </c>
      <c r="AH89" s="22" t="b">
        <v>1</v>
      </c>
      <c r="AI89" s="21"/>
      <c r="AJ89" s="21"/>
      <c r="AK89" s="20">
        <v>4.0</v>
      </c>
      <c r="AL89" s="20">
        <v>4.0</v>
      </c>
      <c r="AM89" s="20">
        <v>4.0</v>
      </c>
      <c r="AN89" s="20">
        <v>4.0</v>
      </c>
      <c r="AO89" s="20">
        <v>4.0</v>
      </c>
      <c r="AP89" s="22" t="b">
        <v>1</v>
      </c>
      <c r="AQ89" s="21"/>
      <c r="AR89" s="21"/>
    </row>
    <row r="90" ht="22.5" customHeight="1">
      <c r="A90" s="25" t="s">
        <v>219</v>
      </c>
      <c r="B90" s="25" t="s">
        <v>220</v>
      </c>
      <c r="C90" s="26" t="s">
        <v>55</v>
      </c>
      <c r="D90" s="15" t="s">
        <v>56</v>
      </c>
      <c r="E90" s="16" t="s">
        <v>57</v>
      </c>
      <c r="F90" s="17" t="str">
        <f t="shared" si="1"/>
        <v>Kathy</v>
      </c>
      <c r="G90" s="18">
        <f t="shared" si="148"/>
        <v>160</v>
      </c>
      <c r="H90" s="17">
        <f t="shared" si="149"/>
        <v>20</v>
      </c>
      <c r="I90" s="17"/>
      <c r="J90" s="17"/>
      <c r="K90" s="24"/>
      <c r="L90" s="24"/>
      <c r="M90" s="20">
        <f t="shared" ref="M90:N90" si="349">IF($D90="Full Time",8,"")</f>
        <v>8</v>
      </c>
      <c r="N90" s="20">
        <f t="shared" si="349"/>
        <v>8</v>
      </c>
      <c r="O90" s="18" t="b">
        <v>1</v>
      </c>
      <c r="P90" s="20">
        <f t="shared" ref="P90:R90" si="350">IF($D90="Full Time",8,"")</f>
        <v>8</v>
      </c>
      <c r="Q90" s="20">
        <f t="shared" si="350"/>
        <v>8</v>
      </c>
      <c r="R90" s="20">
        <f t="shared" si="350"/>
        <v>8</v>
      </c>
      <c r="S90" s="21"/>
      <c r="T90" s="21"/>
      <c r="U90" s="20">
        <f t="shared" ref="U90:Y90" si="351">IF($D90="Full Time",8,"")</f>
        <v>8</v>
      </c>
      <c r="V90" s="20">
        <f t="shared" si="351"/>
        <v>8</v>
      </c>
      <c r="W90" s="20">
        <f t="shared" si="351"/>
        <v>8</v>
      </c>
      <c r="X90" s="20">
        <f t="shared" si="351"/>
        <v>8</v>
      </c>
      <c r="Y90" s="20">
        <f t="shared" si="351"/>
        <v>8</v>
      </c>
      <c r="Z90" s="22" t="b">
        <v>1</v>
      </c>
      <c r="AA90" s="21"/>
      <c r="AB90" s="21"/>
      <c r="AC90" s="20">
        <f t="shared" ref="AC90:AG90" si="352">IF($D90="Full Time",8,"")</f>
        <v>8</v>
      </c>
      <c r="AD90" s="20">
        <f t="shared" si="352"/>
        <v>8</v>
      </c>
      <c r="AE90" s="20">
        <f t="shared" si="352"/>
        <v>8</v>
      </c>
      <c r="AF90" s="20">
        <f t="shared" si="352"/>
        <v>8</v>
      </c>
      <c r="AG90" s="20">
        <f t="shared" si="352"/>
        <v>8</v>
      </c>
      <c r="AH90" s="22" t="b">
        <v>1</v>
      </c>
      <c r="AI90" s="21"/>
      <c r="AJ90" s="21"/>
      <c r="AK90" s="20">
        <f t="shared" ref="AK90:AO90" si="353">IF($D90="Full Time",8,"")</f>
        <v>8</v>
      </c>
      <c r="AL90" s="20">
        <f t="shared" si="353"/>
        <v>8</v>
      </c>
      <c r="AM90" s="20">
        <f t="shared" si="353"/>
        <v>8</v>
      </c>
      <c r="AN90" s="20">
        <f t="shared" si="353"/>
        <v>8</v>
      </c>
      <c r="AO90" s="20">
        <f t="shared" si="353"/>
        <v>8</v>
      </c>
      <c r="AP90" s="22" t="b">
        <v>1</v>
      </c>
      <c r="AQ90" s="21"/>
      <c r="AR90" s="21"/>
    </row>
    <row r="91" ht="22.5" customHeight="1">
      <c r="A91" s="25" t="s">
        <v>221</v>
      </c>
      <c r="B91" s="25" t="s">
        <v>222</v>
      </c>
      <c r="C91" s="26" t="s">
        <v>55</v>
      </c>
      <c r="D91" s="15" t="s">
        <v>56</v>
      </c>
      <c r="E91" s="16" t="s">
        <v>57</v>
      </c>
      <c r="F91" s="17" t="str">
        <f t="shared" si="1"/>
        <v>Kathy</v>
      </c>
      <c r="G91" s="18">
        <f t="shared" si="148"/>
        <v>160</v>
      </c>
      <c r="H91" s="17">
        <f t="shared" si="149"/>
        <v>20</v>
      </c>
      <c r="I91" s="17"/>
      <c r="J91" s="17"/>
      <c r="K91" s="24"/>
      <c r="L91" s="24"/>
      <c r="M91" s="20">
        <f t="shared" ref="M91:N91" si="354">IF($D91="Full Time",8,"")</f>
        <v>8</v>
      </c>
      <c r="N91" s="20">
        <f t="shared" si="354"/>
        <v>8</v>
      </c>
      <c r="O91" s="18" t="b">
        <v>1</v>
      </c>
      <c r="P91" s="20">
        <f t="shared" ref="P91:R91" si="355">IF($D91="Full Time",8,"")</f>
        <v>8</v>
      </c>
      <c r="Q91" s="20">
        <f t="shared" si="355"/>
        <v>8</v>
      </c>
      <c r="R91" s="20">
        <f t="shared" si="355"/>
        <v>8</v>
      </c>
      <c r="S91" s="21"/>
      <c r="T91" s="21"/>
      <c r="U91" s="20">
        <f t="shared" ref="U91:Y91" si="356">IF($D91="Full Time",8,"")</f>
        <v>8</v>
      </c>
      <c r="V91" s="20">
        <f t="shared" si="356"/>
        <v>8</v>
      </c>
      <c r="W91" s="20">
        <f t="shared" si="356"/>
        <v>8</v>
      </c>
      <c r="X91" s="20">
        <f t="shared" si="356"/>
        <v>8</v>
      </c>
      <c r="Y91" s="20">
        <f t="shared" si="356"/>
        <v>8</v>
      </c>
      <c r="Z91" s="22" t="b">
        <v>1</v>
      </c>
      <c r="AA91" s="21"/>
      <c r="AB91" s="21"/>
      <c r="AC91" s="20">
        <f t="shared" ref="AC91:AG91" si="357">IF($D91="Full Time",8,"")</f>
        <v>8</v>
      </c>
      <c r="AD91" s="20">
        <f t="shared" si="357"/>
        <v>8</v>
      </c>
      <c r="AE91" s="20">
        <f t="shared" si="357"/>
        <v>8</v>
      </c>
      <c r="AF91" s="20">
        <f t="shared" si="357"/>
        <v>8</v>
      </c>
      <c r="AG91" s="20">
        <f t="shared" si="357"/>
        <v>8</v>
      </c>
      <c r="AH91" s="22" t="b">
        <v>1</v>
      </c>
      <c r="AI91" s="21"/>
      <c r="AJ91" s="21"/>
      <c r="AK91" s="20">
        <f t="shared" ref="AK91:AO91" si="358">IF($D91="Full Time",8,"")</f>
        <v>8</v>
      </c>
      <c r="AL91" s="20">
        <f t="shared" si="358"/>
        <v>8</v>
      </c>
      <c r="AM91" s="20">
        <f t="shared" si="358"/>
        <v>8</v>
      </c>
      <c r="AN91" s="20">
        <f t="shared" si="358"/>
        <v>8</v>
      </c>
      <c r="AO91" s="20">
        <f t="shared" si="358"/>
        <v>8</v>
      </c>
      <c r="AP91" s="22" t="b">
        <v>1</v>
      </c>
      <c r="AQ91" s="21"/>
      <c r="AR91" s="21"/>
    </row>
    <row r="92" ht="22.5" customHeight="1">
      <c r="A92" s="25" t="s">
        <v>223</v>
      </c>
      <c r="B92" s="25" t="s">
        <v>224</v>
      </c>
      <c r="C92" s="26" t="s">
        <v>63</v>
      </c>
      <c r="D92" s="15" t="s">
        <v>56</v>
      </c>
      <c r="E92" s="32"/>
      <c r="F92" s="17" t="str">
        <f t="shared" si="1"/>
        <v>Ean</v>
      </c>
      <c r="G92" s="18">
        <f t="shared" si="148"/>
        <v>160</v>
      </c>
      <c r="H92" s="17">
        <f t="shared" si="149"/>
        <v>20</v>
      </c>
      <c r="I92" s="17"/>
      <c r="J92" s="17"/>
      <c r="K92" s="24"/>
      <c r="L92" s="24"/>
      <c r="M92" s="20">
        <f t="shared" ref="M92:N92" si="359">IF($D92="Full Time",8,"")</f>
        <v>8</v>
      </c>
      <c r="N92" s="20">
        <f t="shared" si="359"/>
        <v>8</v>
      </c>
      <c r="O92" s="18" t="b">
        <v>1</v>
      </c>
      <c r="P92" s="20">
        <f t="shared" ref="P92:R92" si="360">IF($D92="Full Time",8,"")</f>
        <v>8</v>
      </c>
      <c r="Q92" s="20">
        <f t="shared" si="360"/>
        <v>8</v>
      </c>
      <c r="R92" s="20">
        <f t="shared" si="360"/>
        <v>8</v>
      </c>
      <c r="S92" s="21"/>
      <c r="T92" s="21"/>
      <c r="U92" s="20">
        <f t="shared" ref="U92:Y92" si="361">IF($D92="Full Time",8,"")</f>
        <v>8</v>
      </c>
      <c r="V92" s="20">
        <f t="shared" si="361"/>
        <v>8</v>
      </c>
      <c r="W92" s="20">
        <f t="shared" si="361"/>
        <v>8</v>
      </c>
      <c r="X92" s="20">
        <f t="shared" si="361"/>
        <v>8</v>
      </c>
      <c r="Y92" s="20">
        <f t="shared" si="361"/>
        <v>8</v>
      </c>
      <c r="Z92" s="22" t="b">
        <v>1</v>
      </c>
      <c r="AA92" s="21"/>
      <c r="AB92" s="21"/>
      <c r="AC92" s="20">
        <f t="shared" ref="AC92:AG92" si="362">IF($D92="Full Time",8,"")</f>
        <v>8</v>
      </c>
      <c r="AD92" s="20">
        <f t="shared" si="362"/>
        <v>8</v>
      </c>
      <c r="AE92" s="20">
        <f t="shared" si="362"/>
        <v>8</v>
      </c>
      <c r="AF92" s="20">
        <f t="shared" si="362"/>
        <v>8</v>
      </c>
      <c r="AG92" s="20">
        <f t="shared" si="362"/>
        <v>8</v>
      </c>
      <c r="AH92" s="22" t="b">
        <v>1</v>
      </c>
      <c r="AI92" s="21"/>
      <c r="AJ92" s="21"/>
      <c r="AK92" s="20">
        <f t="shared" ref="AK92:AO92" si="363">IF($D92="Full Time",8,"")</f>
        <v>8</v>
      </c>
      <c r="AL92" s="20">
        <f t="shared" si="363"/>
        <v>8</v>
      </c>
      <c r="AM92" s="20">
        <f t="shared" si="363"/>
        <v>8</v>
      </c>
      <c r="AN92" s="20">
        <f t="shared" si="363"/>
        <v>8</v>
      </c>
      <c r="AO92" s="20">
        <f t="shared" si="363"/>
        <v>8</v>
      </c>
      <c r="AP92" s="22" t="b">
        <v>1</v>
      </c>
      <c r="AQ92" s="21"/>
      <c r="AR92" s="21"/>
    </row>
    <row r="93" ht="22.5" customHeight="1">
      <c r="A93" s="25" t="s">
        <v>225</v>
      </c>
      <c r="B93" s="25" t="s">
        <v>226</v>
      </c>
      <c r="C93" s="26" t="s">
        <v>66</v>
      </c>
      <c r="D93" s="15" t="s">
        <v>56</v>
      </c>
      <c r="E93" s="16" t="s">
        <v>57</v>
      </c>
      <c r="F93" s="17" t="str">
        <f t="shared" si="1"/>
        <v>Tingting</v>
      </c>
      <c r="G93" s="18">
        <f t="shared" si="148"/>
        <v>160</v>
      </c>
      <c r="H93" s="17">
        <f t="shared" si="149"/>
        <v>20</v>
      </c>
      <c r="I93" s="17"/>
      <c r="J93" s="17"/>
      <c r="K93" s="24"/>
      <c r="L93" s="24"/>
      <c r="M93" s="20">
        <f t="shared" ref="M93:N93" si="364">IF($D93="Full Time",8,"")</f>
        <v>8</v>
      </c>
      <c r="N93" s="20">
        <f t="shared" si="364"/>
        <v>8</v>
      </c>
      <c r="O93" s="18" t="b">
        <v>1</v>
      </c>
      <c r="P93" s="20">
        <f t="shared" ref="P93:R93" si="365">IF($D93="Full Time",8,"")</f>
        <v>8</v>
      </c>
      <c r="Q93" s="20">
        <f t="shared" si="365"/>
        <v>8</v>
      </c>
      <c r="R93" s="20">
        <f t="shared" si="365"/>
        <v>8</v>
      </c>
      <c r="S93" s="21"/>
      <c r="T93" s="21"/>
      <c r="U93" s="20">
        <f t="shared" ref="U93:Y93" si="366">IF($D93="Full Time",8,"")</f>
        <v>8</v>
      </c>
      <c r="V93" s="20">
        <f t="shared" si="366"/>
        <v>8</v>
      </c>
      <c r="W93" s="20">
        <f t="shared" si="366"/>
        <v>8</v>
      </c>
      <c r="X93" s="20">
        <f t="shared" si="366"/>
        <v>8</v>
      </c>
      <c r="Y93" s="20">
        <f t="shared" si="366"/>
        <v>8</v>
      </c>
      <c r="Z93" s="22" t="b">
        <v>1</v>
      </c>
      <c r="AA93" s="21"/>
      <c r="AB93" s="21"/>
      <c r="AC93" s="20">
        <f t="shared" ref="AC93:AG93" si="367">IF($D93="Full Time",8,"")</f>
        <v>8</v>
      </c>
      <c r="AD93" s="20">
        <f t="shared" si="367"/>
        <v>8</v>
      </c>
      <c r="AE93" s="20">
        <f t="shared" si="367"/>
        <v>8</v>
      </c>
      <c r="AF93" s="20">
        <f t="shared" si="367"/>
        <v>8</v>
      </c>
      <c r="AG93" s="20">
        <f t="shared" si="367"/>
        <v>8</v>
      </c>
      <c r="AH93" s="22" t="b">
        <v>1</v>
      </c>
      <c r="AI93" s="21"/>
      <c r="AJ93" s="21"/>
      <c r="AK93" s="20">
        <f t="shared" ref="AK93:AO93" si="368">IF($D93="Full Time",8,"")</f>
        <v>8</v>
      </c>
      <c r="AL93" s="20">
        <f t="shared" si="368"/>
        <v>8</v>
      </c>
      <c r="AM93" s="20">
        <f t="shared" si="368"/>
        <v>8</v>
      </c>
      <c r="AN93" s="20">
        <f t="shared" si="368"/>
        <v>8</v>
      </c>
      <c r="AO93" s="20">
        <f t="shared" si="368"/>
        <v>8</v>
      </c>
      <c r="AP93" s="22" t="b">
        <v>1</v>
      </c>
      <c r="AQ93" s="21"/>
      <c r="AR93" s="21"/>
    </row>
    <row r="94" ht="22.5" customHeight="1">
      <c r="A94" s="25" t="s">
        <v>227</v>
      </c>
      <c r="B94" s="25" t="s">
        <v>228</v>
      </c>
      <c r="C94" s="26" t="s">
        <v>74</v>
      </c>
      <c r="D94" s="15" t="s">
        <v>56</v>
      </c>
      <c r="E94" s="16" t="s">
        <v>57</v>
      </c>
      <c r="F94" s="17" t="str">
        <f t="shared" si="1"/>
        <v>Kathy</v>
      </c>
      <c r="G94" s="18">
        <f t="shared" si="148"/>
        <v>160</v>
      </c>
      <c r="H94" s="17">
        <f t="shared" si="149"/>
        <v>20</v>
      </c>
      <c r="I94" s="17"/>
      <c r="J94" s="17"/>
      <c r="K94" s="24"/>
      <c r="L94" s="24"/>
      <c r="M94" s="20">
        <f t="shared" ref="M94:N94" si="369">IF($D94="Full Time",8,"")</f>
        <v>8</v>
      </c>
      <c r="N94" s="20">
        <f t="shared" si="369"/>
        <v>8</v>
      </c>
      <c r="O94" s="18" t="b">
        <v>1</v>
      </c>
      <c r="P94" s="20">
        <f t="shared" ref="P94:R94" si="370">IF($D94="Full Time",8,"")</f>
        <v>8</v>
      </c>
      <c r="Q94" s="20">
        <f t="shared" si="370"/>
        <v>8</v>
      </c>
      <c r="R94" s="20">
        <f t="shared" si="370"/>
        <v>8</v>
      </c>
      <c r="S94" s="21"/>
      <c r="T94" s="21"/>
      <c r="U94" s="20">
        <f t="shared" ref="U94:Y94" si="371">IF($D94="Full Time",8,"")</f>
        <v>8</v>
      </c>
      <c r="V94" s="20">
        <f t="shared" si="371"/>
        <v>8</v>
      </c>
      <c r="W94" s="20">
        <f t="shared" si="371"/>
        <v>8</v>
      </c>
      <c r="X94" s="20">
        <f t="shared" si="371"/>
        <v>8</v>
      </c>
      <c r="Y94" s="20">
        <f t="shared" si="371"/>
        <v>8</v>
      </c>
      <c r="Z94" s="22" t="b">
        <v>1</v>
      </c>
      <c r="AA94" s="21"/>
      <c r="AB94" s="21"/>
      <c r="AC94" s="20">
        <f t="shared" ref="AC94:AG94" si="372">IF($D94="Full Time",8,"")</f>
        <v>8</v>
      </c>
      <c r="AD94" s="20">
        <f t="shared" si="372"/>
        <v>8</v>
      </c>
      <c r="AE94" s="20">
        <f t="shared" si="372"/>
        <v>8</v>
      </c>
      <c r="AF94" s="20">
        <f t="shared" si="372"/>
        <v>8</v>
      </c>
      <c r="AG94" s="20">
        <f t="shared" si="372"/>
        <v>8</v>
      </c>
      <c r="AH94" s="22" t="b">
        <v>1</v>
      </c>
      <c r="AI94" s="21"/>
      <c r="AJ94" s="21"/>
      <c r="AK94" s="20">
        <f t="shared" ref="AK94:AO94" si="373">IF($D94="Full Time",8,"")</f>
        <v>8</v>
      </c>
      <c r="AL94" s="20">
        <f t="shared" si="373"/>
        <v>8</v>
      </c>
      <c r="AM94" s="20">
        <f t="shared" si="373"/>
        <v>8</v>
      </c>
      <c r="AN94" s="20">
        <f t="shared" si="373"/>
        <v>8</v>
      </c>
      <c r="AO94" s="20">
        <f t="shared" si="373"/>
        <v>8</v>
      </c>
      <c r="AP94" s="22" t="b">
        <v>1</v>
      </c>
      <c r="AQ94" s="21"/>
      <c r="AR94" s="21"/>
    </row>
    <row r="95" ht="22.5" customHeight="1">
      <c r="A95" s="25" t="s">
        <v>229</v>
      </c>
      <c r="B95" s="25" t="s">
        <v>230</v>
      </c>
      <c r="C95" s="26" t="s">
        <v>66</v>
      </c>
      <c r="D95" s="15" t="s">
        <v>56</v>
      </c>
      <c r="E95" s="16" t="s">
        <v>57</v>
      </c>
      <c r="F95" s="17" t="str">
        <f t="shared" si="1"/>
        <v>Tingting</v>
      </c>
      <c r="G95" s="18">
        <f t="shared" si="148"/>
        <v>160</v>
      </c>
      <c r="H95" s="17">
        <f t="shared" si="149"/>
        <v>20</v>
      </c>
      <c r="I95" s="17"/>
      <c r="J95" s="17"/>
      <c r="K95" s="24"/>
      <c r="L95" s="24"/>
      <c r="M95" s="20">
        <f t="shared" ref="M95:N95" si="374">IF($D95="Full Time",8,"")</f>
        <v>8</v>
      </c>
      <c r="N95" s="20">
        <f t="shared" si="374"/>
        <v>8</v>
      </c>
      <c r="O95" s="18" t="b">
        <v>1</v>
      </c>
      <c r="P95" s="20">
        <f t="shared" ref="P95:R95" si="375">IF($D95="Full Time",8,"")</f>
        <v>8</v>
      </c>
      <c r="Q95" s="20">
        <f t="shared" si="375"/>
        <v>8</v>
      </c>
      <c r="R95" s="20">
        <f t="shared" si="375"/>
        <v>8</v>
      </c>
      <c r="S95" s="21"/>
      <c r="T95" s="21"/>
      <c r="U95" s="20">
        <f t="shared" ref="U95:Y95" si="376">IF($D95="Full Time",8,"")</f>
        <v>8</v>
      </c>
      <c r="V95" s="20">
        <f t="shared" si="376"/>
        <v>8</v>
      </c>
      <c r="W95" s="20">
        <f t="shared" si="376"/>
        <v>8</v>
      </c>
      <c r="X95" s="20">
        <f t="shared" si="376"/>
        <v>8</v>
      </c>
      <c r="Y95" s="20">
        <f t="shared" si="376"/>
        <v>8</v>
      </c>
      <c r="Z95" s="22" t="b">
        <v>1</v>
      </c>
      <c r="AA95" s="21"/>
      <c r="AB95" s="21"/>
      <c r="AC95" s="20">
        <f t="shared" ref="AC95:AG95" si="377">IF($D95="Full Time",8,"")</f>
        <v>8</v>
      </c>
      <c r="AD95" s="20">
        <f t="shared" si="377"/>
        <v>8</v>
      </c>
      <c r="AE95" s="20">
        <f t="shared" si="377"/>
        <v>8</v>
      </c>
      <c r="AF95" s="20">
        <f t="shared" si="377"/>
        <v>8</v>
      </c>
      <c r="AG95" s="20">
        <f t="shared" si="377"/>
        <v>8</v>
      </c>
      <c r="AH95" s="22" t="b">
        <v>1</v>
      </c>
      <c r="AI95" s="21"/>
      <c r="AJ95" s="21"/>
      <c r="AK95" s="20">
        <f t="shared" ref="AK95:AO95" si="378">IF($D95="Full Time",8,"")</f>
        <v>8</v>
      </c>
      <c r="AL95" s="20">
        <f t="shared" si="378"/>
        <v>8</v>
      </c>
      <c r="AM95" s="20">
        <f t="shared" si="378"/>
        <v>8</v>
      </c>
      <c r="AN95" s="20">
        <f t="shared" si="378"/>
        <v>8</v>
      </c>
      <c r="AO95" s="20">
        <f t="shared" si="378"/>
        <v>8</v>
      </c>
      <c r="AP95" s="22" t="b">
        <v>1</v>
      </c>
      <c r="AQ95" s="21"/>
      <c r="AR95" s="21"/>
    </row>
    <row r="96" ht="22.5" customHeight="1">
      <c r="A96" s="25" t="s">
        <v>231</v>
      </c>
      <c r="B96" s="25" t="s">
        <v>232</v>
      </c>
      <c r="C96" s="26" t="s">
        <v>55</v>
      </c>
      <c r="D96" s="15" t="s">
        <v>56</v>
      </c>
      <c r="E96" s="16" t="s">
        <v>57</v>
      </c>
      <c r="F96" s="17" t="str">
        <f t="shared" si="1"/>
        <v>Kathy</v>
      </c>
      <c r="G96" s="18">
        <f t="shared" si="148"/>
        <v>160</v>
      </c>
      <c r="H96" s="17">
        <f t="shared" si="149"/>
        <v>20</v>
      </c>
      <c r="I96" s="17"/>
      <c r="J96" s="17"/>
      <c r="K96" s="24"/>
      <c r="L96" s="24"/>
      <c r="M96" s="20">
        <f t="shared" ref="M96:N96" si="379">IF($D96="Full Time",8,"")</f>
        <v>8</v>
      </c>
      <c r="N96" s="20">
        <f t="shared" si="379"/>
        <v>8</v>
      </c>
      <c r="O96" s="18" t="b">
        <v>1</v>
      </c>
      <c r="P96" s="20">
        <f t="shared" ref="P96:R96" si="380">IF($D96="Full Time",8,"")</f>
        <v>8</v>
      </c>
      <c r="Q96" s="20">
        <f t="shared" si="380"/>
        <v>8</v>
      </c>
      <c r="R96" s="20">
        <f t="shared" si="380"/>
        <v>8</v>
      </c>
      <c r="S96" s="21"/>
      <c r="T96" s="21"/>
      <c r="U96" s="20">
        <f t="shared" ref="U96:Y96" si="381">IF($D96="Full Time",8,"")</f>
        <v>8</v>
      </c>
      <c r="V96" s="20">
        <f t="shared" si="381"/>
        <v>8</v>
      </c>
      <c r="W96" s="20">
        <f t="shared" si="381"/>
        <v>8</v>
      </c>
      <c r="X96" s="20">
        <f t="shared" si="381"/>
        <v>8</v>
      </c>
      <c r="Y96" s="20">
        <f t="shared" si="381"/>
        <v>8</v>
      </c>
      <c r="Z96" s="22" t="b">
        <v>1</v>
      </c>
      <c r="AA96" s="21"/>
      <c r="AB96" s="21"/>
      <c r="AC96" s="20">
        <f t="shared" ref="AC96:AG96" si="382">IF($D96="Full Time",8,"")</f>
        <v>8</v>
      </c>
      <c r="AD96" s="20">
        <f t="shared" si="382"/>
        <v>8</v>
      </c>
      <c r="AE96" s="20">
        <f t="shared" si="382"/>
        <v>8</v>
      </c>
      <c r="AF96" s="20">
        <f t="shared" si="382"/>
        <v>8</v>
      </c>
      <c r="AG96" s="20">
        <f t="shared" si="382"/>
        <v>8</v>
      </c>
      <c r="AH96" s="22" t="b">
        <v>1</v>
      </c>
      <c r="AI96" s="21"/>
      <c r="AJ96" s="21"/>
      <c r="AK96" s="20">
        <f t="shared" ref="AK96:AO96" si="383">IF($D96="Full Time",8,"")</f>
        <v>8</v>
      </c>
      <c r="AL96" s="20">
        <f t="shared" si="383"/>
        <v>8</v>
      </c>
      <c r="AM96" s="20">
        <f t="shared" si="383"/>
        <v>8</v>
      </c>
      <c r="AN96" s="20">
        <f t="shared" si="383"/>
        <v>8</v>
      </c>
      <c r="AO96" s="20">
        <f t="shared" si="383"/>
        <v>8</v>
      </c>
      <c r="AP96" s="22" t="b">
        <v>1</v>
      </c>
      <c r="AQ96" s="21"/>
      <c r="AR96" s="21"/>
    </row>
    <row r="97" ht="22.5" customHeight="1">
      <c r="A97" s="25" t="s">
        <v>233</v>
      </c>
      <c r="B97" s="25" t="s">
        <v>234</v>
      </c>
      <c r="C97" s="26" t="s">
        <v>55</v>
      </c>
      <c r="D97" s="15" t="s">
        <v>56</v>
      </c>
      <c r="E97" s="16" t="s">
        <v>57</v>
      </c>
      <c r="F97" s="17" t="str">
        <f t="shared" si="1"/>
        <v>Kathy</v>
      </c>
      <c r="G97" s="18">
        <f t="shared" si="148"/>
        <v>160</v>
      </c>
      <c r="H97" s="17">
        <f t="shared" si="149"/>
        <v>20</v>
      </c>
      <c r="I97" s="17"/>
      <c r="J97" s="17"/>
      <c r="K97" s="24"/>
      <c r="L97" s="24"/>
      <c r="M97" s="20">
        <f t="shared" ref="M97:N97" si="384">IF($D97="Full Time",8,"")</f>
        <v>8</v>
      </c>
      <c r="N97" s="20">
        <f t="shared" si="384"/>
        <v>8</v>
      </c>
      <c r="O97" s="18" t="b">
        <v>1</v>
      </c>
      <c r="P97" s="20">
        <f t="shared" ref="P97:R97" si="385">IF($D97="Full Time",8,"")</f>
        <v>8</v>
      </c>
      <c r="Q97" s="20">
        <f t="shared" si="385"/>
        <v>8</v>
      </c>
      <c r="R97" s="20">
        <f t="shared" si="385"/>
        <v>8</v>
      </c>
      <c r="S97" s="21"/>
      <c r="T97" s="21"/>
      <c r="U97" s="20">
        <f t="shared" ref="U97:Y97" si="386">IF($D97="Full Time",8,"")</f>
        <v>8</v>
      </c>
      <c r="V97" s="20">
        <f t="shared" si="386"/>
        <v>8</v>
      </c>
      <c r="W97" s="20">
        <f t="shared" si="386"/>
        <v>8</v>
      </c>
      <c r="X97" s="20">
        <f t="shared" si="386"/>
        <v>8</v>
      </c>
      <c r="Y97" s="20">
        <f t="shared" si="386"/>
        <v>8</v>
      </c>
      <c r="Z97" s="22" t="b">
        <v>1</v>
      </c>
      <c r="AA97" s="21"/>
      <c r="AB97" s="21"/>
      <c r="AC97" s="20">
        <f t="shared" ref="AC97:AG97" si="387">IF($D97="Full Time",8,"")</f>
        <v>8</v>
      </c>
      <c r="AD97" s="20">
        <f t="shared" si="387"/>
        <v>8</v>
      </c>
      <c r="AE97" s="20">
        <f t="shared" si="387"/>
        <v>8</v>
      </c>
      <c r="AF97" s="20">
        <f t="shared" si="387"/>
        <v>8</v>
      </c>
      <c r="AG97" s="20">
        <f t="shared" si="387"/>
        <v>8</v>
      </c>
      <c r="AH97" s="22" t="b">
        <v>1</v>
      </c>
      <c r="AI97" s="21"/>
      <c r="AJ97" s="21"/>
      <c r="AK97" s="20">
        <f t="shared" ref="AK97:AO97" si="388">IF($D97="Full Time",8,"")</f>
        <v>8</v>
      </c>
      <c r="AL97" s="20">
        <f t="shared" si="388"/>
        <v>8</v>
      </c>
      <c r="AM97" s="20">
        <f t="shared" si="388"/>
        <v>8</v>
      </c>
      <c r="AN97" s="20">
        <f t="shared" si="388"/>
        <v>8</v>
      </c>
      <c r="AO97" s="20">
        <f t="shared" si="388"/>
        <v>8</v>
      </c>
      <c r="AP97" s="22" t="b">
        <v>1</v>
      </c>
      <c r="AQ97" s="21"/>
      <c r="AR97" s="21"/>
    </row>
    <row r="98" ht="22.5" customHeight="1">
      <c r="A98" s="25" t="s">
        <v>235</v>
      </c>
      <c r="B98" s="25" t="s">
        <v>236</v>
      </c>
      <c r="C98" s="26" t="s">
        <v>60</v>
      </c>
      <c r="D98" s="15" t="s">
        <v>56</v>
      </c>
      <c r="E98" s="16" t="s">
        <v>57</v>
      </c>
      <c r="F98" s="17" t="str">
        <f t="shared" si="1"/>
        <v>Nicholas</v>
      </c>
      <c r="G98" s="18">
        <f t="shared" si="148"/>
        <v>160</v>
      </c>
      <c r="H98" s="17">
        <f t="shared" si="149"/>
        <v>20</v>
      </c>
      <c r="I98" s="17"/>
      <c r="J98" s="17"/>
      <c r="K98" s="24"/>
      <c r="L98" s="24"/>
      <c r="M98" s="20">
        <f t="shared" ref="M98:N98" si="389">IF($D98="Full Time",8,"")</f>
        <v>8</v>
      </c>
      <c r="N98" s="20">
        <f t="shared" si="389"/>
        <v>8</v>
      </c>
      <c r="O98" s="18" t="b">
        <v>1</v>
      </c>
      <c r="P98" s="20">
        <f t="shared" ref="P98:R98" si="390">IF($D98="Full Time",8,"")</f>
        <v>8</v>
      </c>
      <c r="Q98" s="20">
        <f t="shared" si="390"/>
        <v>8</v>
      </c>
      <c r="R98" s="20">
        <f t="shared" si="390"/>
        <v>8</v>
      </c>
      <c r="S98" s="21"/>
      <c r="T98" s="21"/>
      <c r="U98" s="20">
        <f t="shared" ref="U98:Y98" si="391">IF($D98="Full Time",8,"")</f>
        <v>8</v>
      </c>
      <c r="V98" s="20">
        <f t="shared" si="391"/>
        <v>8</v>
      </c>
      <c r="W98" s="20">
        <f t="shared" si="391"/>
        <v>8</v>
      </c>
      <c r="X98" s="20">
        <f t="shared" si="391"/>
        <v>8</v>
      </c>
      <c r="Y98" s="20">
        <f t="shared" si="391"/>
        <v>8</v>
      </c>
      <c r="Z98" s="22" t="b">
        <v>1</v>
      </c>
      <c r="AA98" s="21"/>
      <c r="AB98" s="21"/>
      <c r="AC98" s="20">
        <f t="shared" ref="AC98:AG98" si="392">IF($D98="Full Time",8,"")</f>
        <v>8</v>
      </c>
      <c r="AD98" s="20">
        <f t="shared" si="392"/>
        <v>8</v>
      </c>
      <c r="AE98" s="20">
        <f t="shared" si="392"/>
        <v>8</v>
      </c>
      <c r="AF98" s="20">
        <f t="shared" si="392"/>
        <v>8</v>
      </c>
      <c r="AG98" s="20">
        <f t="shared" si="392"/>
        <v>8</v>
      </c>
      <c r="AH98" s="22" t="b">
        <v>1</v>
      </c>
      <c r="AI98" s="21"/>
      <c r="AJ98" s="21"/>
      <c r="AK98" s="20">
        <f t="shared" ref="AK98:AO98" si="393">IF($D98="Full Time",8,"")</f>
        <v>8</v>
      </c>
      <c r="AL98" s="20">
        <f t="shared" si="393"/>
        <v>8</v>
      </c>
      <c r="AM98" s="20">
        <f t="shared" si="393"/>
        <v>8</v>
      </c>
      <c r="AN98" s="20">
        <f t="shared" si="393"/>
        <v>8</v>
      </c>
      <c r="AO98" s="20">
        <f t="shared" si="393"/>
        <v>8</v>
      </c>
      <c r="AP98" s="22" t="b">
        <v>1</v>
      </c>
      <c r="AQ98" s="21"/>
      <c r="AR98" s="21"/>
    </row>
    <row r="99" ht="22.5" customHeight="1">
      <c r="A99" s="25" t="s">
        <v>237</v>
      </c>
      <c r="B99" s="25" t="s">
        <v>238</v>
      </c>
      <c r="C99" s="26" t="s">
        <v>52</v>
      </c>
      <c r="D99" s="15" t="s">
        <v>56</v>
      </c>
      <c r="E99" s="16" t="s">
        <v>50</v>
      </c>
      <c r="F99" s="17" t="str">
        <f t="shared" si="1"/>
        <v>Nicholas</v>
      </c>
      <c r="G99" s="18">
        <f t="shared" si="148"/>
        <v>160</v>
      </c>
      <c r="H99" s="17">
        <f t="shared" si="149"/>
        <v>20</v>
      </c>
      <c r="I99" s="17"/>
      <c r="J99" s="17"/>
      <c r="K99" s="24"/>
      <c r="L99" s="24"/>
      <c r="M99" s="20">
        <f t="shared" ref="M99:N99" si="394">IF($D99="Full Time",8,"")</f>
        <v>8</v>
      </c>
      <c r="N99" s="20">
        <f t="shared" si="394"/>
        <v>8</v>
      </c>
      <c r="O99" s="18" t="b">
        <v>1</v>
      </c>
      <c r="P99" s="20">
        <f t="shared" ref="P99:R99" si="395">IF($D99="Full Time",8,"")</f>
        <v>8</v>
      </c>
      <c r="Q99" s="20">
        <f t="shared" si="395"/>
        <v>8</v>
      </c>
      <c r="R99" s="20">
        <f t="shared" si="395"/>
        <v>8</v>
      </c>
      <c r="S99" s="21"/>
      <c r="T99" s="21"/>
      <c r="U99" s="20">
        <f t="shared" ref="U99:Y99" si="396">IF($D99="Full Time",8,"")</f>
        <v>8</v>
      </c>
      <c r="V99" s="20">
        <f t="shared" si="396"/>
        <v>8</v>
      </c>
      <c r="W99" s="20">
        <f t="shared" si="396"/>
        <v>8</v>
      </c>
      <c r="X99" s="20">
        <f t="shared" si="396"/>
        <v>8</v>
      </c>
      <c r="Y99" s="20">
        <f t="shared" si="396"/>
        <v>8</v>
      </c>
      <c r="Z99" s="22" t="b">
        <v>1</v>
      </c>
      <c r="AA99" s="21"/>
      <c r="AB99" s="21"/>
      <c r="AC99" s="20">
        <f t="shared" ref="AC99:AG99" si="397">IF($D99="Full Time",8,"")</f>
        <v>8</v>
      </c>
      <c r="AD99" s="20">
        <f t="shared" si="397"/>
        <v>8</v>
      </c>
      <c r="AE99" s="20">
        <f t="shared" si="397"/>
        <v>8</v>
      </c>
      <c r="AF99" s="20">
        <f t="shared" si="397"/>
        <v>8</v>
      </c>
      <c r="AG99" s="20">
        <f t="shared" si="397"/>
        <v>8</v>
      </c>
      <c r="AH99" s="22" t="b">
        <v>1</v>
      </c>
      <c r="AI99" s="21"/>
      <c r="AJ99" s="21"/>
      <c r="AK99" s="20">
        <f t="shared" ref="AK99:AO99" si="398">IF($D99="Full Time",8,"")</f>
        <v>8</v>
      </c>
      <c r="AL99" s="20">
        <f t="shared" si="398"/>
        <v>8</v>
      </c>
      <c r="AM99" s="20">
        <f t="shared" si="398"/>
        <v>8</v>
      </c>
      <c r="AN99" s="20">
        <f t="shared" si="398"/>
        <v>8</v>
      </c>
      <c r="AO99" s="20">
        <f t="shared" si="398"/>
        <v>8</v>
      </c>
      <c r="AP99" s="22" t="b">
        <v>1</v>
      </c>
      <c r="AQ99" s="21"/>
      <c r="AR99" s="21"/>
    </row>
    <row r="100" ht="22.5" customHeight="1">
      <c r="A100" s="25" t="s">
        <v>239</v>
      </c>
      <c r="B100" s="25" t="s">
        <v>240</v>
      </c>
      <c r="C100" s="26" t="s">
        <v>55</v>
      </c>
      <c r="D100" s="36" t="s">
        <v>56</v>
      </c>
      <c r="E100" s="16" t="s">
        <v>57</v>
      </c>
      <c r="F100" s="17" t="str">
        <f t="shared" si="1"/>
        <v>Kathy</v>
      </c>
      <c r="G100" s="18">
        <f t="shared" si="148"/>
        <v>160</v>
      </c>
      <c r="H100" s="17">
        <f t="shared" si="149"/>
        <v>20</v>
      </c>
      <c r="I100" s="17"/>
      <c r="J100" s="17"/>
      <c r="K100" s="24"/>
      <c r="L100" s="24"/>
      <c r="M100" s="20">
        <f t="shared" ref="M100:N100" si="399">IF($D100="Full Time",8,"")</f>
        <v>8</v>
      </c>
      <c r="N100" s="20">
        <f t="shared" si="399"/>
        <v>8</v>
      </c>
      <c r="O100" s="18" t="b">
        <v>1</v>
      </c>
      <c r="P100" s="20">
        <f t="shared" ref="P100:R100" si="400">IF($D100="Full Time",8,"")</f>
        <v>8</v>
      </c>
      <c r="Q100" s="20">
        <f t="shared" si="400"/>
        <v>8</v>
      </c>
      <c r="R100" s="20">
        <f t="shared" si="400"/>
        <v>8</v>
      </c>
      <c r="S100" s="21"/>
      <c r="T100" s="21"/>
      <c r="U100" s="20">
        <f t="shared" ref="U100:Y100" si="401">IF($D100="Full Time",8,"")</f>
        <v>8</v>
      </c>
      <c r="V100" s="20">
        <f t="shared" si="401"/>
        <v>8</v>
      </c>
      <c r="W100" s="20">
        <f t="shared" si="401"/>
        <v>8</v>
      </c>
      <c r="X100" s="20">
        <f t="shared" si="401"/>
        <v>8</v>
      </c>
      <c r="Y100" s="20">
        <f t="shared" si="401"/>
        <v>8</v>
      </c>
      <c r="Z100" s="22" t="b">
        <v>1</v>
      </c>
      <c r="AA100" s="21"/>
      <c r="AB100" s="21"/>
      <c r="AC100" s="20">
        <f t="shared" ref="AC100:AG100" si="402">IF($D100="Full Time",8,"")</f>
        <v>8</v>
      </c>
      <c r="AD100" s="20">
        <f t="shared" si="402"/>
        <v>8</v>
      </c>
      <c r="AE100" s="20">
        <f t="shared" si="402"/>
        <v>8</v>
      </c>
      <c r="AF100" s="20">
        <f t="shared" si="402"/>
        <v>8</v>
      </c>
      <c r="AG100" s="20">
        <f t="shared" si="402"/>
        <v>8</v>
      </c>
      <c r="AH100" s="22" t="b">
        <v>1</v>
      </c>
      <c r="AI100" s="21"/>
      <c r="AJ100" s="21"/>
      <c r="AK100" s="20">
        <f t="shared" ref="AK100:AO100" si="403">IF($D100="Full Time",8,"")</f>
        <v>8</v>
      </c>
      <c r="AL100" s="20">
        <f t="shared" si="403"/>
        <v>8</v>
      </c>
      <c r="AM100" s="20">
        <f t="shared" si="403"/>
        <v>8</v>
      </c>
      <c r="AN100" s="20">
        <f t="shared" si="403"/>
        <v>8</v>
      </c>
      <c r="AO100" s="20">
        <f t="shared" si="403"/>
        <v>8</v>
      </c>
      <c r="AP100" s="22" t="b">
        <v>1</v>
      </c>
      <c r="AQ100" s="21"/>
      <c r="AR100" s="21"/>
    </row>
    <row r="101" ht="22.5" customHeight="1">
      <c r="A101" s="25" t="s">
        <v>241</v>
      </c>
      <c r="B101" s="25" t="s">
        <v>242</v>
      </c>
      <c r="C101" s="26" t="s">
        <v>48</v>
      </c>
      <c r="D101" s="15" t="s">
        <v>56</v>
      </c>
      <c r="E101" s="16" t="s">
        <v>50</v>
      </c>
      <c r="F101" s="17" t="str">
        <f t="shared" si="1"/>
        <v>Rohini</v>
      </c>
      <c r="G101" s="18">
        <f t="shared" si="148"/>
        <v>160</v>
      </c>
      <c r="H101" s="17">
        <f t="shared" si="149"/>
        <v>20</v>
      </c>
      <c r="I101" s="17"/>
      <c r="J101" s="17"/>
      <c r="K101" s="24"/>
      <c r="L101" s="24"/>
      <c r="M101" s="20">
        <f t="shared" ref="M101:N101" si="404">IF($D101="Full Time",8,"")</f>
        <v>8</v>
      </c>
      <c r="N101" s="20">
        <f t="shared" si="404"/>
        <v>8</v>
      </c>
      <c r="O101" s="18" t="b">
        <v>1</v>
      </c>
      <c r="P101" s="20">
        <f t="shared" ref="P101:R101" si="405">IF($D101="Full Time",8,"")</f>
        <v>8</v>
      </c>
      <c r="Q101" s="20">
        <f t="shared" si="405"/>
        <v>8</v>
      </c>
      <c r="R101" s="20">
        <f t="shared" si="405"/>
        <v>8</v>
      </c>
      <c r="S101" s="21"/>
      <c r="T101" s="21"/>
      <c r="U101" s="20">
        <f t="shared" ref="U101:Y101" si="406">IF($D101="Full Time",8,"")</f>
        <v>8</v>
      </c>
      <c r="V101" s="20">
        <f t="shared" si="406"/>
        <v>8</v>
      </c>
      <c r="W101" s="20">
        <f t="shared" si="406"/>
        <v>8</v>
      </c>
      <c r="X101" s="20">
        <f t="shared" si="406"/>
        <v>8</v>
      </c>
      <c r="Y101" s="20">
        <f t="shared" si="406"/>
        <v>8</v>
      </c>
      <c r="Z101" s="22" t="b">
        <v>1</v>
      </c>
      <c r="AA101" s="21"/>
      <c r="AB101" s="21"/>
      <c r="AC101" s="20">
        <f t="shared" ref="AC101:AG101" si="407">IF($D101="Full Time",8,"")</f>
        <v>8</v>
      </c>
      <c r="AD101" s="20">
        <f t="shared" si="407"/>
        <v>8</v>
      </c>
      <c r="AE101" s="20">
        <f t="shared" si="407"/>
        <v>8</v>
      </c>
      <c r="AF101" s="20">
        <f t="shared" si="407"/>
        <v>8</v>
      </c>
      <c r="AG101" s="20">
        <f t="shared" si="407"/>
        <v>8</v>
      </c>
      <c r="AH101" s="22" t="b">
        <v>1</v>
      </c>
      <c r="AI101" s="21"/>
      <c r="AJ101" s="21"/>
      <c r="AK101" s="20">
        <f t="shared" ref="AK101:AO101" si="408">IF($D101="Full Time",8,"")</f>
        <v>8</v>
      </c>
      <c r="AL101" s="20">
        <f t="shared" si="408"/>
        <v>8</v>
      </c>
      <c r="AM101" s="20">
        <f t="shared" si="408"/>
        <v>8</v>
      </c>
      <c r="AN101" s="20">
        <f t="shared" si="408"/>
        <v>8</v>
      </c>
      <c r="AO101" s="20">
        <f t="shared" si="408"/>
        <v>8</v>
      </c>
      <c r="AP101" s="22" t="b">
        <v>1</v>
      </c>
      <c r="AQ101" s="21"/>
      <c r="AR101" s="21"/>
    </row>
    <row r="102" ht="22.5" customHeight="1">
      <c r="A102" s="25" t="s">
        <v>243</v>
      </c>
      <c r="B102" s="25" t="s">
        <v>244</v>
      </c>
      <c r="C102" s="26" t="s">
        <v>60</v>
      </c>
      <c r="D102" s="15" t="s">
        <v>56</v>
      </c>
      <c r="E102" s="16" t="s">
        <v>57</v>
      </c>
      <c r="F102" s="17" t="str">
        <f t="shared" si="1"/>
        <v>Nicholas</v>
      </c>
      <c r="G102" s="18">
        <f t="shared" si="148"/>
        <v>160</v>
      </c>
      <c r="H102" s="17">
        <f t="shared" si="149"/>
        <v>20</v>
      </c>
      <c r="I102" s="17"/>
      <c r="J102" s="17"/>
      <c r="K102" s="24"/>
      <c r="L102" s="24"/>
      <c r="M102" s="20">
        <f t="shared" ref="M102:N102" si="409">IF($D102="Full Time",8,"")</f>
        <v>8</v>
      </c>
      <c r="N102" s="20">
        <f t="shared" si="409"/>
        <v>8</v>
      </c>
      <c r="O102" s="18" t="b">
        <v>1</v>
      </c>
      <c r="P102" s="20">
        <f t="shared" ref="P102:R102" si="410">IF($D102="Full Time",8,"")</f>
        <v>8</v>
      </c>
      <c r="Q102" s="20">
        <f t="shared" si="410"/>
        <v>8</v>
      </c>
      <c r="R102" s="20">
        <f t="shared" si="410"/>
        <v>8</v>
      </c>
      <c r="S102" s="21"/>
      <c r="T102" s="21"/>
      <c r="U102" s="20">
        <f t="shared" ref="U102:Y102" si="411">IF($D102="Full Time",8,"")</f>
        <v>8</v>
      </c>
      <c r="V102" s="20">
        <f t="shared" si="411"/>
        <v>8</v>
      </c>
      <c r="W102" s="20">
        <f t="shared" si="411"/>
        <v>8</v>
      </c>
      <c r="X102" s="20">
        <f t="shared" si="411"/>
        <v>8</v>
      </c>
      <c r="Y102" s="20">
        <f t="shared" si="411"/>
        <v>8</v>
      </c>
      <c r="Z102" s="22" t="b">
        <v>1</v>
      </c>
      <c r="AA102" s="21"/>
      <c r="AB102" s="21"/>
      <c r="AC102" s="20">
        <f t="shared" ref="AC102:AG102" si="412">IF($D102="Full Time",8,"")</f>
        <v>8</v>
      </c>
      <c r="AD102" s="20">
        <f t="shared" si="412"/>
        <v>8</v>
      </c>
      <c r="AE102" s="20">
        <f t="shared" si="412"/>
        <v>8</v>
      </c>
      <c r="AF102" s="20">
        <f t="shared" si="412"/>
        <v>8</v>
      </c>
      <c r="AG102" s="20">
        <f t="shared" si="412"/>
        <v>8</v>
      </c>
      <c r="AH102" s="22" t="b">
        <v>1</v>
      </c>
      <c r="AI102" s="21"/>
      <c r="AJ102" s="21"/>
      <c r="AK102" s="20">
        <f t="shared" ref="AK102:AO102" si="413">IF($D102="Full Time",8,"")</f>
        <v>8</v>
      </c>
      <c r="AL102" s="20">
        <f t="shared" si="413"/>
        <v>8</v>
      </c>
      <c r="AM102" s="20">
        <f t="shared" si="413"/>
        <v>8</v>
      </c>
      <c r="AN102" s="20">
        <f t="shared" si="413"/>
        <v>8</v>
      </c>
      <c r="AO102" s="20">
        <f t="shared" si="413"/>
        <v>8</v>
      </c>
      <c r="AP102" s="22" t="b">
        <v>1</v>
      </c>
      <c r="AQ102" s="21"/>
      <c r="AR102" s="21"/>
    </row>
    <row r="103" ht="22.5" customHeight="1">
      <c r="A103" s="25" t="s">
        <v>245</v>
      </c>
      <c r="B103" s="25" t="s">
        <v>246</v>
      </c>
      <c r="C103" s="26" t="s">
        <v>63</v>
      </c>
      <c r="D103" s="15" t="s">
        <v>56</v>
      </c>
      <c r="E103" s="32"/>
      <c r="F103" s="17" t="str">
        <f t="shared" si="1"/>
        <v>Ean</v>
      </c>
      <c r="G103" s="18">
        <f t="shared" si="148"/>
        <v>160</v>
      </c>
      <c r="H103" s="17">
        <f t="shared" si="149"/>
        <v>20</v>
      </c>
      <c r="I103" s="17"/>
      <c r="J103" s="17"/>
      <c r="K103" s="24"/>
      <c r="L103" s="24"/>
      <c r="M103" s="20">
        <f t="shared" ref="M103:N103" si="414">IF($D103="Full Time",8,"")</f>
        <v>8</v>
      </c>
      <c r="N103" s="20">
        <f t="shared" si="414"/>
        <v>8</v>
      </c>
      <c r="O103" s="18" t="b">
        <v>1</v>
      </c>
      <c r="P103" s="20">
        <f t="shared" ref="P103:R103" si="415">IF($D103="Full Time",8,"")</f>
        <v>8</v>
      </c>
      <c r="Q103" s="20">
        <f t="shared" si="415"/>
        <v>8</v>
      </c>
      <c r="R103" s="20">
        <f t="shared" si="415"/>
        <v>8</v>
      </c>
      <c r="S103" s="21"/>
      <c r="T103" s="21"/>
      <c r="U103" s="20">
        <f t="shared" ref="U103:Y103" si="416">IF($D103="Full Time",8,"")</f>
        <v>8</v>
      </c>
      <c r="V103" s="20">
        <f t="shared" si="416"/>
        <v>8</v>
      </c>
      <c r="W103" s="20">
        <f t="shared" si="416"/>
        <v>8</v>
      </c>
      <c r="X103" s="20">
        <f t="shared" si="416"/>
        <v>8</v>
      </c>
      <c r="Y103" s="20">
        <f t="shared" si="416"/>
        <v>8</v>
      </c>
      <c r="Z103" s="22" t="b">
        <v>1</v>
      </c>
      <c r="AA103" s="21"/>
      <c r="AB103" s="21"/>
      <c r="AC103" s="20">
        <f t="shared" ref="AC103:AG103" si="417">IF($D103="Full Time",8,"")</f>
        <v>8</v>
      </c>
      <c r="AD103" s="20">
        <f t="shared" si="417"/>
        <v>8</v>
      </c>
      <c r="AE103" s="20">
        <f t="shared" si="417"/>
        <v>8</v>
      </c>
      <c r="AF103" s="20">
        <f t="shared" si="417"/>
        <v>8</v>
      </c>
      <c r="AG103" s="20">
        <f t="shared" si="417"/>
        <v>8</v>
      </c>
      <c r="AH103" s="22" t="b">
        <v>1</v>
      </c>
      <c r="AI103" s="21"/>
      <c r="AJ103" s="21"/>
      <c r="AK103" s="20">
        <f t="shared" ref="AK103:AO103" si="418">IF($D103="Full Time",8,"")</f>
        <v>8</v>
      </c>
      <c r="AL103" s="20">
        <f t="shared" si="418"/>
        <v>8</v>
      </c>
      <c r="AM103" s="20">
        <f t="shared" si="418"/>
        <v>8</v>
      </c>
      <c r="AN103" s="20">
        <f t="shared" si="418"/>
        <v>8</v>
      </c>
      <c r="AO103" s="20">
        <f t="shared" si="418"/>
        <v>8</v>
      </c>
      <c r="AP103" s="22" t="b">
        <v>1</v>
      </c>
      <c r="AQ103" s="21"/>
      <c r="AR103" s="21"/>
    </row>
    <row r="104" ht="22.5" customHeight="1">
      <c r="A104" s="25" t="s">
        <v>247</v>
      </c>
      <c r="B104" s="25" t="s">
        <v>248</v>
      </c>
      <c r="C104" s="25" t="s">
        <v>218</v>
      </c>
      <c r="D104" s="15" t="s">
        <v>56</v>
      </c>
      <c r="E104" s="16" t="s">
        <v>57</v>
      </c>
      <c r="F104" s="17" t="str">
        <f t="shared" si="1"/>
        <v>Rohini</v>
      </c>
      <c r="G104" s="18">
        <f t="shared" si="148"/>
        <v>160</v>
      </c>
      <c r="H104" s="17">
        <f t="shared" si="149"/>
        <v>20</v>
      </c>
      <c r="I104" s="17"/>
      <c r="J104" s="17"/>
      <c r="K104" s="24"/>
      <c r="L104" s="24"/>
      <c r="M104" s="20">
        <f t="shared" ref="M104:N104" si="419">IF($D104="Full Time",8,"")</f>
        <v>8</v>
      </c>
      <c r="N104" s="20">
        <f t="shared" si="419"/>
        <v>8</v>
      </c>
      <c r="O104" s="18" t="b">
        <v>1</v>
      </c>
      <c r="P104" s="20">
        <f t="shared" ref="P104:R104" si="420">IF($D104="Full Time",8,"")</f>
        <v>8</v>
      </c>
      <c r="Q104" s="20">
        <f t="shared" si="420"/>
        <v>8</v>
      </c>
      <c r="R104" s="20">
        <f t="shared" si="420"/>
        <v>8</v>
      </c>
      <c r="S104" s="21"/>
      <c r="T104" s="21"/>
      <c r="U104" s="20">
        <f t="shared" ref="U104:Y104" si="421">IF($D104="Full Time",8,"")</f>
        <v>8</v>
      </c>
      <c r="V104" s="20">
        <f t="shared" si="421"/>
        <v>8</v>
      </c>
      <c r="W104" s="20">
        <f t="shared" si="421"/>
        <v>8</v>
      </c>
      <c r="X104" s="20">
        <f t="shared" si="421"/>
        <v>8</v>
      </c>
      <c r="Y104" s="20">
        <f t="shared" si="421"/>
        <v>8</v>
      </c>
      <c r="Z104" s="22" t="b">
        <v>1</v>
      </c>
      <c r="AA104" s="21"/>
      <c r="AB104" s="21"/>
      <c r="AC104" s="20">
        <f t="shared" ref="AC104:AG104" si="422">IF($D104="Full Time",8,"")</f>
        <v>8</v>
      </c>
      <c r="AD104" s="20">
        <f t="shared" si="422"/>
        <v>8</v>
      </c>
      <c r="AE104" s="20">
        <f t="shared" si="422"/>
        <v>8</v>
      </c>
      <c r="AF104" s="20">
        <f t="shared" si="422"/>
        <v>8</v>
      </c>
      <c r="AG104" s="20">
        <f t="shared" si="422"/>
        <v>8</v>
      </c>
      <c r="AH104" s="22" t="b">
        <v>1</v>
      </c>
      <c r="AI104" s="21"/>
      <c r="AJ104" s="21"/>
      <c r="AK104" s="20">
        <f t="shared" ref="AK104:AO104" si="423">IF($D104="Full Time",8,"")</f>
        <v>8</v>
      </c>
      <c r="AL104" s="20">
        <f t="shared" si="423"/>
        <v>8</v>
      </c>
      <c r="AM104" s="20">
        <f t="shared" si="423"/>
        <v>8</v>
      </c>
      <c r="AN104" s="20">
        <f t="shared" si="423"/>
        <v>8</v>
      </c>
      <c r="AO104" s="20">
        <f t="shared" si="423"/>
        <v>8</v>
      </c>
      <c r="AP104" s="22" t="b">
        <v>1</v>
      </c>
      <c r="AQ104" s="21"/>
      <c r="AR104" s="21"/>
    </row>
    <row r="105" ht="22.5" customHeight="1">
      <c r="A105" s="25" t="s">
        <v>249</v>
      </c>
      <c r="B105" s="25" t="s">
        <v>250</v>
      </c>
      <c r="C105" s="26" t="s">
        <v>52</v>
      </c>
      <c r="D105" s="15" t="s">
        <v>56</v>
      </c>
      <c r="E105" s="16" t="s">
        <v>50</v>
      </c>
      <c r="F105" s="17" t="str">
        <f t="shared" si="1"/>
        <v>Nicholas</v>
      </c>
      <c r="G105" s="18">
        <f t="shared" si="148"/>
        <v>160</v>
      </c>
      <c r="H105" s="17">
        <f t="shared" si="149"/>
        <v>20</v>
      </c>
      <c r="I105" s="17"/>
      <c r="J105" s="17"/>
      <c r="K105" s="24"/>
      <c r="L105" s="24"/>
      <c r="M105" s="20">
        <f t="shared" ref="M105:N105" si="424">IF($D105="Full Time",8,"")</f>
        <v>8</v>
      </c>
      <c r="N105" s="20">
        <f t="shared" si="424"/>
        <v>8</v>
      </c>
      <c r="O105" s="18" t="b">
        <v>1</v>
      </c>
      <c r="P105" s="20">
        <f t="shared" ref="P105:R105" si="425">IF($D105="Full Time",8,"")</f>
        <v>8</v>
      </c>
      <c r="Q105" s="20">
        <f t="shared" si="425"/>
        <v>8</v>
      </c>
      <c r="R105" s="20">
        <f t="shared" si="425"/>
        <v>8</v>
      </c>
      <c r="S105" s="21"/>
      <c r="T105" s="21"/>
      <c r="U105" s="20">
        <f t="shared" ref="U105:Y105" si="426">IF($D105="Full Time",8,"")</f>
        <v>8</v>
      </c>
      <c r="V105" s="20">
        <f t="shared" si="426"/>
        <v>8</v>
      </c>
      <c r="W105" s="20">
        <f t="shared" si="426"/>
        <v>8</v>
      </c>
      <c r="X105" s="20">
        <f t="shared" si="426"/>
        <v>8</v>
      </c>
      <c r="Y105" s="20">
        <f t="shared" si="426"/>
        <v>8</v>
      </c>
      <c r="Z105" s="22" t="b">
        <v>1</v>
      </c>
      <c r="AA105" s="21"/>
      <c r="AB105" s="21"/>
      <c r="AC105" s="20">
        <f t="shared" ref="AC105:AG105" si="427">IF($D105="Full Time",8,"")</f>
        <v>8</v>
      </c>
      <c r="AD105" s="20">
        <f t="shared" si="427"/>
        <v>8</v>
      </c>
      <c r="AE105" s="20">
        <f t="shared" si="427"/>
        <v>8</v>
      </c>
      <c r="AF105" s="20">
        <f t="shared" si="427"/>
        <v>8</v>
      </c>
      <c r="AG105" s="20">
        <f t="shared" si="427"/>
        <v>8</v>
      </c>
      <c r="AH105" s="22" t="b">
        <v>1</v>
      </c>
      <c r="AI105" s="21"/>
      <c r="AJ105" s="21"/>
      <c r="AK105" s="20">
        <f t="shared" ref="AK105:AO105" si="428">IF($D105="Full Time",8,"")</f>
        <v>8</v>
      </c>
      <c r="AL105" s="20">
        <f t="shared" si="428"/>
        <v>8</v>
      </c>
      <c r="AM105" s="20">
        <f t="shared" si="428"/>
        <v>8</v>
      </c>
      <c r="AN105" s="20">
        <f t="shared" si="428"/>
        <v>8</v>
      </c>
      <c r="AO105" s="20">
        <f t="shared" si="428"/>
        <v>8</v>
      </c>
      <c r="AP105" s="22" t="b">
        <v>1</v>
      </c>
      <c r="AQ105" s="21"/>
      <c r="AR105" s="21"/>
    </row>
    <row r="106" ht="22.5" customHeight="1">
      <c r="A106" s="13" t="s">
        <v>251</v>
      </c>
      <c r="B106" s="13" t="s">
        <v>252</v>
      </c>
      <c r="C106" s="14" t="s">
        <v>85</v>
      </c>
      <c r="D106" s="15" t="s">
        <v>49</v>
      </c>
      <c r="E106" s="16" t="s">
        <v>57</v>
      </c>
      <c r="F106" s="17" t="str">
        <f t="shared" si="1"/>
        <v>Arabelle</v>
      </c>
      <c r="G106" s="18">
        <f t="shared" si="148"/>
        <v>30</v>
      </c>
      <c r="H106" s="17">
        <f t="shared" si="149"/>
        <v>3.75</v>
      </c>
      <c r="I106" s="17"/>
      <c r="J106" s="17"/>
      <c r="K106" s="24"/>
      <c r="L106" s="24"/>
      <c r="M106" s="20">
        <v>30.0</v>
      </c>
      <c r="N106" s="20" t="str">
        <f>IF($D106="Full Time",8,"")</f>
        <v/>
      </c>
      <c r="O106" s="18" t="b">
        <v>1</v>
      </c>
      <c r="P106" s="20" t="str">
        <f t="shared" ref="P106:R106" si="429">IF($D106="Full Time",8,"")</f>
        <v/>
      </c>
      <c r="Q106" s="20" t="str">
        <f t="shared" si="429"/>
        <v/>
      </c>
      <c r="R106" s="20" t="str">
        <f t="shared" si="429"/>
        <v/>
      </c>
      <c r="S106" s="21"/>
      <c r="T106" s="21"/>
      <c r="U106" s="20" t="str">
        <f t="shared" ref="U106:Y106" si="430">IF($D106="Full Time",8,"")</f>
        <v/>
      </c>
      <c r="V106" s="20" t="str">
        <f t="shared" si="430"/>
        <v/>
      </c>
      <c r="W106" s="20" t="str">
        <f t="shared" si="430"/>
        <v/>
      </c>
      <c r="X106" s="20" t="str">
        <f t="shared" si="430"/>
        <v/>
      </c>
      <c r="Y106" s="20" t="str">
        <f t="shared" si="430"/>
        <v/>
      </c>
      <c r="Z106" s="22" t="b">
        <v>1</v>
      </c>
      <c r="AA106" s="21"/>
      <c r="AB106" s="21"/>
      <c r="AC106" s="20" t="str">
        <f t="shared" ref="AC106:AG106" si="431">IF($D106="Full Time",8,"")</f>
        <v/>
      </c>
      <c r="AD106" s="20" t="str">
        <f t="shared" si="431"/>
        <v/>
      </c>
      <c r="AE106" s="20" t="str">
        <f t="shared" si="431"/>
        <v/>
      </c>
      <c r="AF106" s="20" t="str">
        <f t="shared" si="431"/>
        <v/>
      </c>
      <c r="AG106" s="20" t="str">
        <f t="shared" si="431"/>
        <v/>
      </c>
      <c r="AH106" s="22" t="b">
        <v>1</v>
      </c>
      <c r="AI106" s="21"/>
      <c r="AJ106" s="21"/>
      <c r="AK106" s="20" t="str">
        <f t="shared" ref="AK106:AO106" si="432">IF($D106="Full Time",8,"")</f>
        <v/>
      </c>
      <c r="AL106" s="20" t="str">
        <f t="shared" si="432"/>
        <v/>
      </c>
      <c r="AM106" s="20" t="str">
        <f t="shared" si="432"/>
        <v/>
      </c>
      <c r="AN106" s="20" t="str">
        <f t="shared" si="432"/>
        <v/>
      </c>
      <c r="AO106" s="20" t="str">
        <f t="shared" si="432"/>
        <v/>
      </c>
      <c r="AP106" s="22" t="b">
        <v>1</v>
      </c>
      <c r="AQ106" s="21"/>
      <c r="AR106" s="21"/>
    </row>
    <row r="107" ht="22.5" customHeight="1">
      <c r="A107" s="13" t="s">
        <v>251</v>
      </c>
      <c r="B107" s="13" t="s">
        <v>252</v>
      </c>
      <c r="C107" s="13" t="s">
        <v>115</v>
      </c>
      <c r="D107" s="23" t="s">
        <v>49</v>
      </c>
      <c r="E107" s="32"/>
      <c r="F107" s="17" t="str">
        <f t="shared" si="1"/>
        <v>Elena</v>
      </c>
      <c r="G107" s="18">
        <f t="shared" si="148"/>
        <v>140</v>
      </c>
      <c r="H107" s="17">
        <f t="shared" si="149"/>
        <v>17.5</v>
      </c>
      <c r="I107" s="17"/>
      <c r="J107" s="17"/>
      <c r="K107" s="24"/>
      <c r="L107" s="24"/>
      <c r="M107" s="20">
        <v>7.0</v>
      </c>
      <c r="N107" s="20">
        <v>7.0</v>
      </c>
      <c r="O107" s="18" t="b">
        <v>1</v>
      </c>
      <c r="P107" s="20">
        <v>7.0</v>
      </c>
      <c r="Q107" s="20">
        <v>7.0</v>
      </c>
      <c r="R107" s="20">
        <v>7.0</v>
      </c>
      <c r="S107" s="21"/>
      <c r="T107" s="21"/>
      <c r="U107" s="37">
        <v>7.0</v>
      </c>
      <c r="V107" s="37">
        <v>7.0</v>
      </c>
      <c r="W107" s="37">
        <v>7.0</v>
      </c>
      <c r="X107" s="37">
        <v>7.0</v>
      </c>
      <c r="Y107" s="37">
        <v>7.0</v>
      </c>
      <c r="Z107" s="22" t="b">
        <v>1</v>
      </c>
      <c r="AA107" s="21"/>
      <c r="AB107" s="21"/>
      <c r="AC107" s="37">
        <v>7.0</v>
      </c>
      <c r="AD107" s="37">
        <v>7.0</v>
      </c>
      <c r="AE107" s="37">
        <v>7.0</v>
      </c>
      <c r="AF107" s="37">
        <v>7.0</v>
      </c>
      <c r="AG107" s="37">
        <v>7.0</v>
      </c>
      <c r="AH107" s="22" t="b">
        <v>1</v>
      </c>
      <c r="AI107" s="21"/>
      <c r="AJ107" s="21"/>
      <c r="AK107" s="37">
        <v>7.0</v>
      </c>
      <c r="AL107" s="37">
        <v>7.0</v>
      </c>
      <c r="AM107" s="37">
        <v>7.0</v>
      </c>
      <c r="AN107" s="37">
        <v>7.0</v>
      </c>
      <c r="AO107" s="37">
        <v>7.0</v>
      </c>
      <c r="AP107" s="22" t="b">
        <v>1</v>
      </c>
      <c r="AQ107" s="21"/>
      <c r="AR107" s="21"/>
    </row>
    <row r="108" ht="22.5" customHeight="1">
      <c r="A108" s="25" t="s">
        <v>253</v>
      </c>
      <c r="B108" s="25" t="s">
        <v>254</v>
      </c>
      <c r="C108" s="26" t="s">
        <v>60</v>
      </c>
      <c r="D108" s="15" t="s">
        <v>56</v>
      </c>
      <c r="E108" s="16" t="s">
        <v>57</v>
      </c>
      <c r="F108" s="17" t="str">
        <f t="shared" si="1"/>
        <v>Nicholas</v>
      </c>
      <c r="G108" s="18">
        <f t="shared" si="148"/>
        <v>160</v>
      </c>
      <c r="H108" s="17">
        <f t="shared" si="149"/>
        <v>20</v>
      </c>
      <c r="I108" s="17"/>
      <c r="J108" s="17"/>
      <c r="K108" s="24"/>
      <c r="L108" s="24"/>
      <c r="M108" s="20">
        <f t="shared" ref="M108:N108" si="433">IF($D108="Full Time",8,"")</f>
        <v>8</v>
      </c>
      <c r="N108" s="20">
        <f t="shared" si="433"/>
        <v>8</v>
      </c>
      <c r="O108" s="18" t="b">
        <v>1</v>
      </c>
      <c r="P108" s="20">
        <f t="shared" ref="P108:R108" si="434">IF($D108="Full Time",8,"")</f>
        <v>8</v>
      </c>
      <c r="Q108" s="20">
        <f t="shared" si="434"/>
        <v>8</v>
      </c>
      <c r="R108" s="20">
        <f t="shared" si="434"/>
        <v>8</v>
      </c>
      <c r="S108" s="21"/>
      <c r="T108" s="21"/>
      <c r="U108" s="20">
        <f t="shared" ref="U108:Y108" si="435">IF($D108="Full Time",8,"")</f>
        <v>8</v>
      </c>
      <c r="V108" s="20">
        <f t="shared" si="435"/>
        <v>8</v>
      </c>
      <c r="W108" s="20">
        <f t="shared" si="435"/>
        <v>8</v>
      </c>
      <c r="X108" s="20">
        <f t="shared" si="435"/>
        <v>8</v>
      </c>
      <c r="Y108" s="20">
        <f t="shared" si="435"/>
        <v>8</v>
      </c>
      <c r="Z108" s="22" t="b">
        <v>1</v>
      </c>
      <c r="AA108" s="21"/>
      <c r="AB108" s="21"/>
      <c r="AC108" s="20">
        <f t="shared" ref="AC108:AG108" si="436">IF($D108="Full Time",8,"")</f>
        <v>8</v>
      </c>
      <c r="AD108" s="20">
        <f t="shared" si="436"/>
        <v>8</v>
      </c>
      <c r="AE108" s="20">
        <f t="shared" si="436"/>
        <v>8</v>
      </c>
      <c r="AF108" s="20">
        <f t="shared" si="436"/>
        <v>8</v>
      </c>
      <c r="AG108" s="20">
        <f t="shared" si="436"/>
        <v>8</v>
      </c>
      <c r="AH108" s="22" t="b">
        <v>1</v>
      </c>
      <c r="AI108" s="21"/>
      <c r="AJ108" s="21"/>
      <c r="AK108" s="20">
        <f t="shared" ref="AK108:AO108" si="437">IF($D108="Full Time",8,"")</f>
        <v>8</v>
      </c>
      <c r="AL108" s="20">
        <f t="shared" si="437"/>
        <v>8</v>
      </c>
      <c r="AM108" s="20">
        <f t="shared" si="437"/>
        <v>8</v>
      </c>
      <c r="AN108" s="20">
        <f t="shared" si="437"/>
        <v>8</v>
      </c>
      <c r="AO108" s="20">
        <f t="shared" si="437"/>
        <v>8</v>
      </c>
      <c r="AP108" s="22" t="b">
        <v>1</v>
      </c>
      <c r="AQ108" s="21"/>
      <c r="AR108" s="21"/>
    </row>
    <row r="109" ht="22.5" customHeight="1">
      <c r="A109" s="25" t="s">
        <v>255</v>
      </c>
      <c r="B109" s="25" t="s">
        <v>256</v>
      </c>
      <c r="C109" s="26" t="s">
        <v>66</v>
      </c>
      <c r="D109" s="15" t="s">
        <v>56</v>
      </c>
      <c r="E109" s="16" t="s">
        <v>57</v>
      </c>
      <c r="F109" s="17" t="str">
        <f t="shared" si="1"/>
        <v>Tingting</v>
      </c>
      <c r="G109" s="18">
        <f t="shared" si="148"/>
        <v>160</v>
      </c>
      <c r="H109" s="17">
        <f t="shared" si="149"/>
        <v>20</v>
      </c>
      <c r="I109" s="17"/>
      <c r="J109" s="17"/>
      <c r="K109" s="24"/>
      <c r="L109" s="24"/>
      <c r="M109" s="20">
        <f t="shared" ref="M109:N109" si="438">IF($D109="Full Time",8,"")</f>
        <v>8</v>
      </c>
      <c r="N109" s="20">
        <f t="shared" si="438"/>
        <v>8</v>
      </c>
      <c r="O109" s="18" t="b">
        <v>1</v>
      </c>
      <c r="P109" s="20">
        <f t="shared" ref="P109:R109" si="439">IF($D109="Full Time",8,"")</f>
        <v>8</v>
      </c>
      <c r="Q109" s="20">
        <f t="shared" si="439"/>
        <v>8</v>
      </c>
      <c r="R109" s="20">
        <f t="shared" si="439"/>
        <v>8</v>
      </c>
      <c r="S109" s="21"/>
      <c r="T109" s="21"/>
      <c r="U109" s="20">
        <f t="shared" ref="U109:Y109" si="440">IF($D109="Full Time",8,"")</f>
        <v>8</v>
      </c>
      <c r="V109" s="20">
        <f t="shared" si="440"/>
        <v>8</v>
      </c>
      <c r="W109" s="20">
        <f t="shared" si="440"/>
        <v>8</v>
      </c>
      <c r="X109" s="20">
        <f t="shared" si="440"/>
        <v>8</v>
      </c>
      <c r="Y109" s="20">
        <f t="shared" si="440"/>
        <v>8</v>
      </c>
      <c r="Z109" s="22" t="b">
        <v>1</v>
      </c>
      <c r="AA109" s="21"/>
      <c r="AB109" s="21"/>
      <c r="AC109" s="20">
        <f t="shared" ref="AC109:AG109" si="441">IF($D109="Full Time",8,"")</f>
        <v>8</v>
      </c>
      <c r="AD109" s="20">
        <f t="shared" si="441"/>
        <v>8</v>
      </c>
      <c r="AE109" s="20">
        <f t="shared" si="441"/>
        <v>8</v>
      </c>
      <c r="AF109" s="20">
        <f t="shared" si="441"/>
        <v>8</v>
      </c>
      <c r="AG109" s="20">
        <f t="shared" si="441"/>
        <v>8</v>
      </c>
      <c r="AH109" s="22" t="b">
        <v>1</v>
      </c>
      <c r="AI109" s="21"/>
      <c r="AJ109" s="21"/>
      <c r="AK109" s="20">
        <f t="shared" ref="AK109:AO109" si="442">IF($D109="Full Time",8,"")</f>
        <v>8</v>
      </c>
      <c r="AL109" s="20">
        <f t="shared" si="442"/>
        <v>8</v>
      </c>
      <c r="AM109" s="20">
        <f t="shared" si="442"/>
        <v>8</v>
      </c>
      <c r="AN109" s="20">
        <f t="shared" si="442"/>
        <v>8</v>
      </c>
      <c r="AO109" s="20">
        <f t="shared" si="442"/>
        <v>8</v>
      </c>
      <c r="AP109" s="22" t="b">
        <v>1</v>
      </c>
      <c r="AQ109" s="21"/>
      <c r="AR109" s="21"/>
    </row>
    <row r="110" ht="22.5" customHeight="1">
      <c r="A110" s="25" t="s">
        <v>257</v>
      </c>
      <c r="B110" s="25" t="s">
        <v>258</v>
      </c>
      <c r="C110" s="26" t="s">
        <v>66</v>
      </c>
      <c r="D110" s="15" t="s">
        <v>56</v>
      </c>
      <c r="E110" s="16" t="s">
        <v>57</v>
      </c>
      <c r="F110" s="17" t="str">
        <f t="shared" si="1"/>
        <v>Tingting</v>
      </c>
      <c r="G110" s="18">
        <f t="shared" si="148"/>
        <v>160</v>
      </c>
      <c r="H110" s="17">
        <f t="shared" si="149"/>
        <v>20</v>
      </c>
      <c r="I110" s="17"/>
      <c r="J110" s="17"/>
      <c r="K110" s="24"/>
      <c r="L110" s="24"/>
      <c r="M110" s="20">
        <f t="shared" ref="M110:N110" si="443">IF($D110="Full Time",8,"")</f>
        <v>8</v>
      </c>
      <c r="N110" s="20">
        <f t="shared" si="443"/>
        <v>8</v>
      </c>
      <c r="O110" s="18" t="b">
        <v>1</v>
      </c>
      <c r="P110" s="20">
        <f t="shared" ref="P110:R110" si="444">IF($D110="Full Time",8,"")</f>
        <v>8</v>
      </c>
      <c r="Q110" s="20">
        <f t="shared" si="444"/>
        <v>8</v>
      </c>
      <c r="R110" s="20">
        <f t="shared" si="444"/>
        <v>8</v>
      </c>
      <c r="S110" s="21"/>
      <c r="T110" s="21"/>
      <c r="U110" s="20">
        <f t="shared" ref="U110:Y110" si="445">IF($D110="Full Time",8,"")</f>
        <v>8</v>
      </c>
      <c r="V110" s="20">
        <f t="shared" si="445"/>
        <v>8</v>
      </c>
      <c r="W110" s="20">
        <f t="shared" si="445"/>
        <v>8</v>
      </c>
      <c r="X110" s="20">
        <f t="shared" si="445"/>
        <v>8</v>
      </c>
      <c r="Y110" s="20">
        <f t="shared" si="445"/>
        <v>8</v>
      </c>
      <c r="Z110" s="22" t="b">
        <v>1</v>
      </c>
      <c r="AA110" s="21"/>
      <c r="AB110" s="21"/>
      <c r="AC110" s="20">
        <f t="shared" ref="AC110:AG110" si="446">IF($D110="Full Time",8,"")</f>
        <v>8</v>
      </c>
      <c r="AD110" s="20">
        <f t="shared" si="446"/>
        <v>8</v>
      </c>
      <c r="AE110" s="20">
        <f t="shared" si="446"/>
        <v>8</v>
      </c>
      <c r="AF110" s="20">
        <f t="shared" si="446"/>
        <v>8</v>
      </c>
      <c r="AG110" s="20">
        <f t="shared" si="446"/>
        <v>8</v>
      </c>
      <c r="AH110" s="22" t="b">
        <v>1</v>
      </c>
      <c r="AI110" s="21"/>
      <c r="AJ110" s="21"/>
      <c r="AK110" s="20">
        <f t="shared" ref="AK110:AO110" si="447">IF($D110="Full Time",8,"")</f>
        <v>8</v>
      </c>
      <c r="AL110" s="20">
        <f t="shared" si="447"/>
        <v>8</v>
      </c>
      <c r="AM110" s="20">
        <f t="shared" si="447"/>
        <v>8</v>
      </c>
      <c r="AN110" s="20">
        <f t="shared" si="447"/>
        <v>8</v>
      </c>
      <c r="AO110" s="20">
        <f t="shared" si="447"/>
        <v>8</v>
      </c>
      <c r="AP110" s="22" t="b">
        <v>1</v>
      </c>
      <c r="AQ110" s="21"/>
      <c r="AR110" s="21"/>
    </row>
    <row r="111" ht="22.5" customHeight="1">
      <c r="A111" s="25" t="s">
        <v>259</v>
      </c>
      <c r="B111" s="25" t="s">
        <v>260</v>
      </c>
      <c r="C111" s="26" t="s">
        <v>55</v>
      </c>
      <c r="D111" s="15" t="s">
        <v>56</v>
      </c>
      <c r="E111" s="16" t="s">
        <v>57</v>
      </c>
      <c r="F111" s="17" t="str">
        <f t="shared" si="1"/>
        <v>Kathy</v>
      </c>
      <c r="G111" s="18">
        <f t="shared" si="148"/>
        <v>160</v>
      </c>
      <c r="H111" s="17">
        <f t="shared" si="149"/>
        <v>20</v>
      </c>
      <c r="I111" s="17"/>
      <c r="J111" s="17"/>
      <c r="K111" s="24"/>
      <c r="L111" s="24"/>
      <c r="M111" s="20">
        <f t="shared" ref="M111:N111" si="448">IF($D111="Full Time",8,"")</f>
        <v>8</v>
      </c>
      <c r="N111" s="20">
        <f t="shared" si="448"/>
        <v>8</v>
      </c>
      <c r="O111" s="18" t="b">
        <v>1</v>
      </c>
      <c r="P111" s="20">
        <f t="shared" ref="P111:R111" si="449">IF($D111="Full Time",8,"")</f>
        <v>8</v>
      </c>
      <c r="Q111" s="20">
        <f t="shared" si="449"/>
        <v>8</v>
      </c>
      <c r="R111" s="20">
        <f t="shared" si="449"/>
        <v>8</v>
      </c>
      <c r="S111" s="21"/>
      <c r="T111" s="21"/>
      <c r="U111" s="20">
        <f t="shared" ref="U111:Y111" si="450">IF($D111="Full Time",8,"")</f>
        <v>8</v>
      </c>
      <c r="V111" s="20">
        <f t="shared" si="450"/>
        <v>8</v>
      </c>
      <c r="W111" s="20">
        <f t="shared" si="450"/>
        <v>8</v>
      </c>
      <c r="X111" s="20">
        <f t="shared" si="450"/>
        <v>8</v>
      </c>
      <c r="Y111" s="20">
        <f t="shared" si="450"/>
        <v>8</v>
      </c>
      <c r="Z111" s="22" t="b">
        <v>1</v>
      </c>
      <c r="AA111" s="21"/>
      <c r="AB111" s="21"/>
      <c r="AC111" s="20">
        <f t="shared" ref="AC111:AG111" si="451">IF($D111="Full Time",8,"")</f>
        <v>8</v>
      </c>
      <c r="AD111" s="20">
        <f t="shared" si="451"/>
        <v>8</v>
      </c>
      <c r="AE111" s="20">
        <f t="shared" si="451"/>
        <v>8</v>
      </c>
      <c r="AF111" s="20">
        <f t="shared" si="451"/>
        <v>8</v>
      </c>
      <c r="AG111" s="20">
        <f t="shared" si="451"/>
        <v>8</v>
      </c>
      <c r="AH111" s="22" t="b">
        <v>1</v>
      </c>
      <c r="AI111" s="21"/>
      <c r="AJ111" s="21"/>
      <c r="AK111" s="20">
        <f t="shared" ref="AK111:AO111" si="452">IF($D111="Full Time",8,"")</f>
        <v>8</v>
      </c>
      <c r="AL111" s="20">
        <f t="shared" si="452"/>
        <v>8</v>
      </c>
      <c r="AM111" s="20">
        <f t="shared" si="452"/>
        <v>8</v>
      </c>
      <c r="AN111" s="20">
        <f t="shared" si="452"/>
        <v>8</v>
      </c>
      <c r="AO111" s="20">
        <f t="shared" si="452"/>
        <v>8</v>
      </c>
      <c r="AP111" s="22" t="b">
        <v>1</v>
      </c>
      <c r="AQ111" s="21"/>
      <c r="AR111" s="21"/>
    </row>
    <row r="112" ht="22.5" customHeight="1">
      <c r="A112" s="25" t="s">
        <v>261</v>
      </c>
      <c r="B112" s="25" t="s">
        <v>262</v>
      </c>
      <c r="C112" s="26" t="s">
        <v>55</v>
      </c>
      <c r="D112" s="15" t="s">
        <v>56</v>
      </c>
      <c r="E112" s="16" t="s">
        <v>57</v>
      </c>
      <c r="F112" s="17" t="str">
        <f t="shared" si="1"/>
        <v>Kathy</v>
      </c>
      <c r="G112" s="18">
        <f t="shared" si="148"/>
        <v>160</v>
      </c>
      <c r="H112" s="17">
        <f t="shared" si="149"/>
        <v>20</v>
      </c>
      <c r="I112" s="17"/>
      <c r="J112" s="17"/>
      <c r="K112" s="24"/>
      <c r="L112" s="24"/>
      <c r="M112" s="20">
        <f t="shared" ref="M112:N112" si="453">IF($D112="Full Time",8,"")</f>
        <v>8</v>
      </c>
      <c r="N112" s="20">
        <f t="shared" si="453"/>
        <v>8</v>
      </c>
      <c r="O112" s="18" t="b">
        <v>1</v>
      </c>
      <c r="P112" s="20">
        <f t="shared" ref="P112:R112" si="454">IF($D112="Full Time",8,"")</f>
        <v>8</v>
      </c>
      <c r="Q112" s="20">
        <f t="shared" si="454"/>
        <v>8</v>
      </c>
      <c r="R112" s="20">
        <f t="shared" si="454"/>
        <v>8</v>
      </c>
      <c r="S112" s="21"/>
      <c r="T112" s="21"/>
      <c r="U112" s="20">
        <f t="shared" ref="U112:Y112" si="455">IF($D112="Full Time",8,"")</f>
        <v>8</v>
      </c>
      <c r="V112" s="20">
        <f t="shared" si="455"/>
        <v>8</v>
      </c>
      <c r="W112" s="20">
        <f t="shared" si="455"/>
        <v>8</v>
      </c>
      <c r="X112" s="20">
        <f t="shared" si="455"/>
        <v>8</v>
      </c>
      <c r="Y112" s="20">
        <f t="shared" si="455"/>
        <v>8</v>
      </c>
      <c r="Z112" s="22" t="b">
        <v>1</v>
      </c>
      <c r="AA112" s="21"/>
      <c r="AB112" s="21"/>
      <c r="AC112" s="20">
        <f t="shared" ref="AC112:AG112" si="456">IF($D112="Full Time",8,"")</f>
        <v>8</v>
      </c>
      <c r="AD112" s="20">
        <f t="shared" si="456"/>
        <v>8</v>
      </c>
      <c r="AE112" s="20">
        <f t="shared" si="456"/>
        <v>8</v>
      </c>
      <c r="AF112" s="20">
        <f t="shared" si="456"/>
        <v>8</v>
      </c>
      <c r="AG112" s="20">
        <f t="shared" si="456"/>
        <v>8</v>
      </c>
      <c r="AH112" s="22" t="b">
        <v>1</v>
      </c>
      <c r="AI112" s="21"/>
      <c r="AJ112" s="21"/>
      <c r="AK112" s="20">
        <f t="shared" ref="AK112:AO112" si="457">IF($D112="Full Time",8,"")</f>
        <v>8</v>
      </c>
      <c r="AL112" s="20">
        <f t="shared" si="457"/>
        <v>8</v>
      </c>
      <c r="AM112" s="20">
        <f t="shared" si="457"/>
        <v>8</v>
      </c>
      <c r="AN112" s="20">
        <f t="shared" si="457"/>
        <v>8</v>
      </c>
      <c r="AO112" s="20">
        <f t="shared" si="457"/>
        <v>8</v>
      </c>
      <c r="AP112" s="22" t="b">
        <v>1</v>
      </c>
      <c r="AQ112" s="21"/>
      <c r="AR112" s="21"/>
    </row>
    <row r="113" ht="22.5" customHeight="1">
      <c r="A113" s="25" t="s">
        <v>263</v>
      </c>
      <c r="B113" s="25" t="s">
        <v>264</v>
      </c>
      <c r="C113" s="26" t="s">
        <v>94</v>
      </c>
      <c r="D113" s="15" t="s">
        <v>56</v>
      </c>
      <c r="E113" s="16" t="s">
        <v>57</v>
      </c>
      <c r="F113" s="17" t="str">
        <f t="shared" si="1"/>
        <v>Nicholas</v>
      </c>
      <c r="G113" s="18">
        <f t="shared" si="148"/>
        <v>160</v>
      </c>
      <c r="H113" s="17">
        <f t="shared" si="149"/>
        <v>20</v>
      </c>
      <c r="I113" s="17"/>
      <c r="J113" s="17"/>
      <c r="K113" s="24"/>
      <c r="L113" s="24"/>
      <c r="M113" s="20">
        <f t="shared" ref="M113:N113" si="458">IF($D113="Full Time",8,"")</f>
        <v>8</v>
      </c>
      <c r="N113" s="20">
        <f t="shared" si="458"/>
        <v>8</v>
      </c>
      <c r="O113" s="18" t="b">
        <v>1</v>
      </c>
      <c r="P113" s="20">
        <f t="shared" ref="P113:R113" si="459">IF($D113="Full Time",8,"")</f>
        <v>8</v>
      </c>
      <c r="Q113" s="20">
        <f t="shared" si="459"/>
        <v>8</v>
      </c>
      <c r="R113" s="20">
        <f t="shared" si="459"/>
        <v>8</v>
      </c>
      <c r="S113" s="21"/>
      <c r="T113" s="21"/>
      <c r="U113" s="20">
        <f t="shared" ref="U113:Y113" si="460">IF($D113="Full Time",8,"")</f>
        <v>8</v>
      </c>
      <c r="V113" s="20">
        <f t="shared" si="460"/>
        <v>8</v>
      </c>
      <c r="W113" s="20">
        <f t="shared" si="460"/>
        <v>8</v>
      </c>
      <c r="X113" s="20">
        <f t="shared" si="460"/>
        <v>8</v>
      </c>
      <c r="Y113" s="20">
        <f t="shared" si="460"/>
        <v>8</v>
      </c>
      <c r="Z113" s="22" t="b">
        <v>1</v>
      </c>
      <c r="AA113" s="21"/>
      <c r="AB113" s="21"/>
      <c r="AC113" s="20">
        <f t="shared" ref="AC113:AG113" si="461">IF($D113="Full Time",8,"")</f>
        <v>8</v>
      </c>
      <c r="AD113" s="20">
        <f t="shared" si="461"/>
        <v>8</v>
      </c>
      <c r="AE113" s="20">
        <f t="shared" si="461"/>
        <v>8</v>
      </c>
      <c r="AF113" s="20">
        <f t="shared" si="461"/>
        <v>8</v>
      </c>
      <c r="AG113" s="20">
        <f t="shared" si="461"/>
        <v>8</v>
      </c>
      <c r="AH113" s="22" t="b">
        <v>1</v>
      </c>
      <c r="AI113" s="21"/>
      <c r="AJ113" s="21"/>
      <c r="AK113" s="20">
        <f t="shared" ref="AK113:AO113" si="462">IF($D113="Full Time",8,"")</f>
        <v>8</v>
      </c>
      <c r="AL113" s="20">
        <f t="shared" si="462"/>
        <v>8</v>
      </c>
      <c r="AM113" s="20">
        <f t="shared" si="462"/>
        <v>8</v>
      </c>
      <c r="AN113" s="20">
        <f t="shared" si="462"/>
        <v>8</v>
      </c>
      <c r="AO113" s="20">
        <f t="shared" si="462"/>
        <v>8</v>
      </c>
      <c r="AP113" s="22" t="b">
        <v>1</v>
      </c>
      <c r="AQ113" s="21"/>
      <c r="AR113" s="21"/>
    </row>
    <row r="114" ht="22.5" customHeight="1">
      <c r="A114" s="25" t="s">
        <v>265</v>
      </c>
      <c r="B114" s="25" t="s">
        <v>266</v>
      </c>
      <c r="C114" s="26" t="s">
        <v>60</v>
      </c>
      <c r="D114" s="15" t="s">
        <v>56</v>
      </c>
      <c r="E114" s="16" t="s">
        <v>57</v>
      </c>
      <c r="F114" s="17" t="str">
        <f t="shared" si="1"/>
        <v>Nicholas</v>
      </c>
      <c r="G114" s="18">
        <f t="shared" si="148"/>
        <v>160</v>
      </c>
      <c r="H114" s="17">
        <f t="shared" si="149"/>
        <v>20</v>
      </c>
      <c r="I114" s="17"/>
      <c r="J114" s="17"/>
      <c r="K114" s="24"/>
      <c r="L114" s="24"/>
      <c r="M114" s="20">
        <f t="shared" ref="M114:N114" si="463">IF($D114="Full Time",8,"")</f>
        <v>8</v>
      </c>
      <c r="N114" s="20">
        <f t="shared" si="463"/>
        <v>8</v>
      </c>
      <c r="O114" s="18" t="b">
        <v>1</v>
      </c>
      <c r="P114" s="20">
        <f t="shared" ref="P114:R114" si="464">IF($D114="Full Time",8,"")</f>
        <v>8</v>
      </c>
      <c r="Q114" s="20">
        <f t="shared" si="464"/>
        <v>8</v>
      </c>
      <c r="R114" s="20">
        <f t="shared" si="464"/>
        <v>8</v>
      </c>
      <c r="S114" s="21"/>
      <c r="T114" s="21"/>
      <c r="U114" s="20">
        <f t="shared" ref="U114:Y114" si="465">IF($D114="Full Time",8,"")</f>
        <v>8</v>
      </c>
      <c r="V114" s="20">
        <f t="shared" si="465"/>
        <v>8</v>
      </c>
      <c r="W114" s="20">
        <f t="shared" si="465"/>
        <v>8</v>
      </c>
      <c r="X114" s="20">
        <f t="shared" si="465"/>
        <v>8</v>
      </c>
      <c r="Y114" s="20">
        <f t="shared" si="465"/>
        <v>8</v>
      </c>
      <c r="Z114" s="22" t="b">
        <v>1</v>
      </c>
      <c r="AA114" s="21"/>
      <c r="AB114" s="21"/>
      <c r="AC114" s="20">
        <f t="shared" ref="AC114:AG114" si="466">IF($D114="Full Time",8,"")</f>
        <v>8</v>
      </c>
      <c r="AD114" s="20">
        <f t="shared" si="466"/>
        <v>8</v>
      </c>
      <c r="AE114" s="20">
        <f t="shared" si="466"/>
        <v>8</v>
      </c>
      <c r="AF114" s="20">
        <f t="shared" si="466"/>
        <v>8</v>
      </c>
      <c r="AG114" s="20">
        <f t="shared" si="466"/>
        <v>8</v>
      </c>
      <c r="AH114" s="22" t="b">
        <v>1</v>
      </c>
      <c r="AI114" s="21"/>
      <c r="AJ114" s="21"/>
      <c r="AK114" s="20">
        <f t="shared" ref="AK114:AO114" si="467">IF($D114="Full Time",8,"")</f>
        <v>8</v>
      </c>
      <c r="AL114" s="20">
        <f t="shared" si="467"/>
        <v>8</v>
      </c>
      <c r="AM114" s="20">
        <f t="shared" si="467"/>
        <v>8</v>
      </c>
      <c r="AN114" s="20">
        <f t="shared" si="467"/>
        <v>8</v>
      </c>
      <c r="AO114" s="20">
        <f t="shared" si="467"/>
        <v>8</v>
      </c>
      <c r="AP114" s="22" t="b">
        <v>1</v>
      </c>
      <c r="AQ114" s="21"/>
      <c r="AR114" s="21"/>
    </row>
    <row r="115" ht="22.5" customHeight="1">
      <c r="A115" s="25" t="s">
        <v>267</v>
      </c>
      <c r="B115" s="25" t="s">
        <v>268</v>
      </c>
      <c r="C115" s="26" t="s">
        <v>52</v>
      </c>
      <c r="D115" s="15" t="s">
        <v>56</v>
      </c>
      <c r="E115" s="16" t="s">
        <v>50</v>
      </c>
      <c r="F115" s="17" t="str">
        <f t="shared" si="1"/>
        <v>Nicholas</v>
      </c>
      <c r="G115" s="18">
        <f t="shared" si="148"/>
        <v>160</v>
      </c>
      <c r="H115" s="17">
        <f t="shared" si="149"/>
        <v>20</v>
      </c>
      <c r="I115" s="17"/>
      <c r="J115" s="17"/>
      <c r="K115" s="24"/>
      <c r="L115" s="24"/>
      <c r="M115" s="20">
        <f t="shared" ref="M115:N115" si="468">IF($D115="Full Time",8,"")</f>
        <v>8</v>
      </c>
      <c r="N115" s="20">
        <f t="shared" si="468"/>
        <v>8</v>
      </c>
      <c r="O115" s="18" t="b">
        <v>1</v>
      </c>
      <c r="P115" s="20">
        <f t="shared" ref="P115:R115" si="469">IF($D115="Full Time",8,"")</f>
        <v>8</v>
      </c>
      <c r="Q115" s="20">
        <f t="shared" si="469"/>
        <v>8</v>
      </c>
      <c r="R115" s="20">
        <f t="shared" si="469"/>
        <v>8</v>
      </c>
      <c r="S115" s="21"/>
      <c r="T115" s="21"/>
      <c r="U115" s="20">
        <f t="shared" ref="U115:Y115" si="470">IF($D115="Full Time",8,"")</f>
        <v>8</v>
      </c>
      <c r="V115" s="20">
        <f t="shared" si="470"/>
        <v>8</v>
      </c>
      <c r="W115" s="20">
        <f t="shared" si="470"/>
        <v>8</v>
      </c>
      <c r="X115" s="20">
        <f t="shared" si="470"/>
        <v>8</v>
      </c>
      <c r="Y115" s="20">
        <f t="shared" si="470"/>
        <v>8</v>
      </c>
      <c r="Z115" s="22" t="b">
        <v>1</v>
      </c>
      <c r="AA115" s="21"/>
      <c r="AB115" s="21"/>
      <c r="AC115" s="20">
        <f t="shared" ref="AC115:AG115" si="471">IF($D115="Full Time",8,"")</f>
        <v>8</v>
      </c>
      <c r="AD115" s="20">
        <f t="shared" si="471"/>
        <v>8</v>
      </c>
      <c r="AE115" s="20">
        <f t="shared" si="471"/>
        <v>8</v>
      </c>
      <c r="AF115" s="20">
        <f t="shared" si="471"/>
        <v>8</v>
      </c>
      <c r="AG115" s="20">
        <f t="shared" si="471"/>
        <v>8</v>
      </c>
      <c r="AH115" s="22" t="b">
        <v>1</v>
      </c>
      <c r="AI115" s="21"/>
      <c r="AJ115" s="21"/>
      <c r="AK115" s="20">
        <f t="shared" ref="AK115:AO115" si="472">IF($D115="Full Time",8,"")</f>
        <v>8</v>
      </c>
      <c r="AL115" s="20">
        <f t="shared" si="472"/>
        <v>8</v>
      </c>
      <c r="AM115" s="20">
        <f t="shared" si="472"/>
        <v>8</v>
      </c>
      <c r="AN115" s="20">
        <f t="shared" si="472"/>
        <v>8</v>
      </c>
      <c r="AO115" s="20">
        <f t="shared" si="472"/>
        <v>8</v>
      </c>
      <c r="AP115" s="22" t="b">
        <v>1</v>
      </c>
      <c r="AQ115" s="21"/>
      <c r="AR115" s="21"/>
    </row>
    <row r="116" ht="22.5" customHeight="1">
      <c r="A116" s="25" t="s">
        <v>269</v>
      </c>
      <c r="B116" s="25" t="s">
        <v>270</v>
      </c>
      <c r="C116" s="26" t="s">
        <v>60</v>
      </c>
      <c r="D116" s="15" t="s">
        <v>56</v>
      </c>
      <c r="E116" s="16" t="s">
        <v>57</v>
      </c>
      <c r="F116" s="17" t="str">
        <f t="shared" si="1"/>
        <v>Nicholas</v>
      </c>
      <c r="G116" s="18">
        <f t="shared" si="148"/>
        <v>160</v>
      </c>
      <c r="H116" s="17">
        <f t="shared" si="149"/>
        <v>20</v>
      </c>
      <c r="I116" s="17"/>
      <c r="J116" s="17"/>
      <c r="K116" s="24"/>
      <c r="L116" s="24"/>
      <c r="M116" s="20">
        <f t="shared" ref="M116:N116" si="473">IF($D116="Full Time",8,"")</f>
        <v>8</v>
      </c>
      <c r="N116" s="20">
        <f t="shared" si="473"/>
        <v>8</v>
      </c>
      <c r="O116" s="18" t="b">
        <v>1</v>
      </c>
      <c r="P116" s="20">
        <f t="shared" ref="P116:R116" si="474">IF($D116="Full Time",8,"")</f>
        <v>8</v>
      </c>
      <c r="Q116" s="20">
        <f t="shared" si="474"/>
        <v>8</v>
      </c>
      <c r="R116" s="20">
        <f t="shared" si="474"/>
        <v>8</v>
      </c>
      <c r="S116" s="21"/>
      <c r="T116" s="21"/>
      <c r="U116" s="20">
        <f t="shared" ref="U116:Y116" si="475">IF($D116="Full Time",8,"")</f>
        <v>8</v>
      </c>
      <c r="V116" s="20">
        <f t="shared" si="475"/>
        <v>8</v>
      </c>
      <c r="W116" s="20">
        <f t="shared" si="475"/>
        <v>8</v>
      </c>
      <c r="X116" s="20">
        <f t="shared" si="475"/>
        <v>8</v>
      </c>
      <c r="Y116" s="20">
        <f t="shared" si="475"/>
        <v>8</v>
      </c>
      <c r="Z116" s="22" t="b">
        <v>1</v>
      </c>
      <c r="AA116" s="21"/>
      <c r="AB116" s="21"/>
      <c r="AC116" s="20">
        <f t="shared" ref="AC116:AG116" si="476">IF($D116="Full Time",8,"")</f>
        <v>8</v>
      </c>
      <c r="AD116" s="20">
        <f t="shared" si="476"/>
        <v>8</v>
      </c>
      <c r="AE116" s="20">
        <f t="shared" si="476"/>
        <v>8</v>
      </c>
      <c r="AF116" s="20">
        <f t="shared" si="476"/>
        <v>8</v>
      </c>
      <c r="AG116" s="20">
        <f t="shared" si="476"/>
        <v>8</v>
      </c>
      <c r="AH116" s="22" t="b">
        <v>1</v>
      </c>
      <c r="AI116" s="21"/>
      <c r="AJ116" s="21"/>
      <c r="AK116" s="20">
        <f t="shared" ref="AK116:AO116" si="477">IF($D116="Full Time",8,"")</f>
        <v>8</v>
      </c>
      <c r="AL116" s="20">
        <f t="shared" si="477"/>
        <v>8</v>
      </c>
      <c r="AM116" s="20">
        <f t="shared" si="477"/>
        <v>8</v>
      </c>
      <c r="AN116" s="20">
        <f t="shared" si="477"/>
        <v>8</v>
      </c>
      <c r="AO116" s="20">
        <f t="shared" si="477"/>
        <v>8</v>
      </c>
      <c r="AP116" s="22" t="b">
        <v>1</v>
      </c>
      <c r="AQ116" s="21"/>
      <c r="AR116" s="21"/>
    </row>
  </sheetData>
  <customSheetViews>
    <customSheetView guid="{F304BC32-8849-4C7D-99A9-079BDA95AFE0}" filter="1" showAutoFilter="1">
      <autoFilter ref="$A$3:$AR$116"/>
    </customSheetView>
    <customSheetView guid="{6C722C52-8187-4DE9-BF6C-1FDA34523F26}" filter="1" showAutoFilter="1">
      <autoFilter ref="$A$3:$AR$116">
        <filterColumn colId="2">
          <filters>
            <filter val="BNM"/>
            <filter val="Floater"/>
            <filter val="Atlas"/>
            <filter val="Food AI"/>
            <filter val="PAM PDA"/>
            <filter val="Mediacorp"/>
            <filter val="Bigsweep"/>
            <filter val="KLK CR"/>
            <filter val="PAM AMS"/>
            <filter val="KLK Olio"/>
            <filter val="Nikkei"/>
            <filter val="GBG"/>
            <filter val="JBI"/>
            <filter val="Astro"/>
          </filters>
        </filterColumn>
      </autoFilter>
    </customSheetView>
    <customSheetView guid="{31F2CFF3-A91E-4A0B-8424-ACF1CC514C26}" filter="1" showAutoFilter="1">
      <autoFilter ref="$A$3:$AR$116"/>
    </customSheetView>
    <customSheetView guid="{6974EC77-F1C6-46B6-869E-B36659433124}" filter="1" showAutoFilter="1">
      <autoFilter ref="$A$3:$AR$116"/>
    </customSheetView>
  </customSheetViews>
  <conditionalFormatting sqref="K4">
    <cfRule type="notContainsBlanks" dxfId="0" priority="1">
      <formula>LEN(TRIM(K4))&gt;0</formula>
    </cfRule>
  </conditionalFormatting>
  <conditionalFormatting sqref="K5">
    <cfRule type="notContainsBlanks" dxfId="0" priority="2">
      <formula>LEN(TRIM(K5))&gt;0</formula>
    </cfRule>
  </conditionalFormatting>
  <conditionalFormatting sqref="M4:R116 U34:Y34 U46:Y46">
    <cfRule type="expression" dxfId="0" priority="3">
      <formula>#REF!=TRUE</formula>
    </cfRule>
  </conditionalFormatting>
  <conditionalFormatting sqref="U4:Z116 AC17:AG17 AK17:AO17">
    <cfRule type="expression" dxfId="0" priority="4">
      <formula>$Z4=TRUE</formula>
    </cfRule>
  </conditionalFormatting>
  <conditionalFormatting sqref="AC4:AH116 AK34:AO34">
    <cfRule type="expression" dxfId="0" priority="5">
      <formula>$AH4=TRUE</formula>
    </cfRule>
  </conditionalFormatting>
  <conditionalFormatting sqref="AK4:AP116">
    <cfRule type="expression" dxfId="0" priority="6">
      <formula>$AP4=TRUE</formula>
    </cfRule>
  </conditionalFormatting>
  <dataValidations>
    <dataValidation type="list" allowBlank="1" sqref="D4:D116">
      <formula1>"Full Time,Part Time"</formula1>
    </dataValidation>
    <dataValidation type="list" allowBlank="1" sqref="E4:E116">
      <formula1>"Yes,No"</formula1>
    </dataValidation>
  </dataValidations>
  <drawing r:id="rId1"/>
  <tableParts count="1">
    <tablePart r:id="rId3"/>
  </tableParts>
</worksheet>
</file>